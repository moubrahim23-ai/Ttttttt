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MDANMO\Desktop\"/>
    </mc:Choice>
  </mc:AlternateContent>
  <xr:revisionPtr revIDLastSave="0" documentId="13_ncr:1_{1B2D3F9C-39C9-459B-BE0D-EEFB49B81034}" xr6:coauthVersionLast="47" xr6:coauthVersionMax="47" xr10:uidLastSave="{00000000-0000-0000-0000-000000000000}"/>
  <bookViews>
    <workbookView xWindow="-120" yWindow="480" windowWidth="29040" windowHeight="15120" activeTab="3" xr2:uid="{B79FBB2D-BDA7-4B76-9CB2-21F26A9C1E1F}"/>
  </bookViews>
  <sheets>
    <sheet name="HUB" sheetId="6" r:id="rId1"/>
    <sheet name="TDB" sheetId="12" r:id="rId2"/>
    <sheet name="Feuil1" sheetId="15" state="hidden" r:id="rId3"/>
    <sheet name="A affecter" sheetId="1" r:id="rId4"/>
    <sheet name="Agents" sheetId="2" r:id="rId5"/>
    <sheet name="Traite" sheetId="3" r:id="rId6"/>
    <sheet name="Consolidation" sheetId="5" r:id="rId7"/>
    <sheet name="Journal Import" sheetId="7" r:id="rId8"/>
    <sheet name="_UI_Import" sheetId="8" state="veryHidden" r:id="rId9"/>
    <sheet name="_UI_Importes" sheetId="9" state="veryHidden" r:id="rId10"/>
    <sheet name="_UI_Affect" sheetId="10" state="veryHidden" r:id="rId11"/>
    <sheet name="_UI_Recherche" sheetId="11" state="veryHidden" r:id="rId12"/>
    <sheet name="FileAttente" sheetId="16" state="veryHidden" r:id="rId13"/>
    <sheet name="_UI_Traite" sheetId="17" state="veryHidden" r:id="rId14"/>
  </sheets>
  <definedNames>
    <definedName name="_xlnm._FilterDatabase" localSheetId="3" hidden="1">'A affecter'!$A$1:$D$1</definedName>
    <definedName name="_xlnm._FilterDatabase" localSheetId="6" hidden="1">Consolidation!$A$1:$L$124</definedName>
    <definedName name="_xlnm._FilterDatabase" localSheetId="7" hidden="1">'Journal Import'!$A$1:$G$1</definedName>
    <definedName name="_xlcn.WorksheetConnection_MANAGER.xlsmAffecter1" hidden="1">Affecter[]</definedName>
    <definedName name="Segment_Agent">#N/A</definedName>
    <definedName name="Segment_CSP">#N/A</definedName>
    <definedName name="Segment_Fichier_source">#N/A</definedName>
    <definedName name="Segment_Type_de_facture">#N/A</definedName>
  </definedNames>
  <calcPr calcId="191029"/>
  <pivotCaches>
    <pivotCache cacheId="138" r:id="rId15"/>
    <pivotCache cacheId="141" r:id="rId16"/>
    <pivotCache cacheId="144" r:id="rId17"/>
    <pivotCache cacheId="147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ffecter" name="Affecter" connection="WorksheetConnection_MANAGER.xlsm!Affect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3" i="15" l="1"/>
  <c r="D3" i="15"/>
  <c r="I3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6553B4-741F-4345-A7F7-A11C0044DEB2}" keepAlive="1" name="ThisWorkbookDataModel" description="Modèle de donnée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4550A4A-CCA6-4244-B4F2-61787CB8BA9F}" name="WorksheetConnection_MANAGER.xlsm!Affecter" type="102" refreshedVersion="7" minRefreshableVersion="5">
    <extLst>
      <ext xmlns:x15="http://schemas.microsoft.com/office/spreadsheetml/2010/11/main" uri="{DE250136-89BD-433C-8126-D09CA5730AF9}">
        <x15:connection id="Affecter">
          <x15:rangePr sourceName="_xlcn.WorksheetConnection_MANAGER.xlsmAffecter1"/>
        </x15:connection>
      </ext>
    </extLst>
  </connection>
</connections>
</file>

<file path=xl/sharedStrings.xml><?xml version="1.0" encoding="utf-8"?>
<sst xmlns="http://schemas.openxmlformats.org/spreadsheetml/2006/main" count="2951" uniqueCount="385">
  <si>
    <t>SIRET</t>
  </si>
  <si>
    <t>IBAN</t>
  </si>
  <si>
    <t>RL</t>
  </si>
  <si>
    <t>Agent</t>
  </si>
  <si>
    <t>N Abonne</t>
  </si>
  <si>
    <t>IDT</t>
  </si>
  <si>
    <t>MDP</t>
  </si>
  <si>
    <t>Contrat BAD</t>
  </si>
  <si>
    <t>CSP</t>
  </si>
  <si>
    <t>Apporteur</t>
  </si>
  <si>
    <t>Nom du fichier</t>
  </si>
  <si>
    <t>Chemin complet</t>
  </si>
  <si>
    <t>Date et heure</t>
  </si>
  <si>
    <t>Utilisateur Windows</t>
  </si>
  <si>
    <t>Nombre de lignes</t>
  </si>
  <si>
    <t>Action</t>
  </si>
  <si>
    <t>Statut</t>
  </si>
  <si>
    <t>SUCCÈS</t>
  </si>
  <si>
    <t>ID Import</t>
  </si>
  <si>
    <t>Nom CSP</t>
  </si>
  <si>
    <t>IDT connexion</t>
  </si>
  <si>
    <t>MDP CSP</t>
  </si>
  <si>
    <t>Raison sociale</t>
  </si>
  <si>
    <t>Type de facture</t>
  </si>
  <si>
    <t>Date limite de traitement</t>
  </si>
  <si>
    <t>Fichier source</t>
  </si>
  <si>
    <t>Date d'import</t>
  </si>
  <si>
    <t>Utilisateur</t>
  </si>
  <si>
    <t>Lignes</t>
  </si>
  <si>
    <t>Date limite</t>
  </si>
  <si>
    <t>Ligne</t>
  </si>
  <si>
    <t>LOKOA éditeur Abonnés v.31.07.26 (source).xlsx</t>
  </si>
  <si>
    <t>SAS MARBRERIE FOURNITURES TECHNIQUES BATIMENT</t>
  </si>
  <si>
    <t>E+R</t>
  </si>
  <si>
    <t xml:space="preserve"> SAS LA BOCAINE</t>
  </si>
  <si>
    <t xml:space="preserve">SCI RACINE </t>
  </si>
  <si>
    <t xml:space="preserve"> SARL RL DISTRIB-RACINE </t>
  </si>
  <si>
    <t xml:space="preserve"> SARL Unipersonnelle B2EB</t>
  </si>
  <si>
    <t xml:space="preserve">ASSOCIATION AERIAL </t>
  </si>
  <si>
    <t xml:space="preserve">ROI DE BRETAGNE </t>
  </si>
  <si>
    <t xml:space="preserve">INOPROD SAS </t>
  </si>
  <si>
    <t xml:space="preserve">SAS INOPROD France </t>
  </si>
  <si>
    <t>SAS REDBERRY</t>
  </si>
  <si>
    <t xml:space="preserve">SASU EUROLAM </t>
  </si>
  <si>
    <t>SARL CP MENUISERIE</t>
  </si>
  <si>
    <t>SAS IWAKI</t>
  </si>
  <si>
    <t xml:space="preserve">SAS TAVANO BATIMENT </t>
  </si>
  <si>
    <t xml:space="preserve">E+R </t>
  </si>
  <si>
    <t>LONGCH&amp;CO</t>
  </si>
  <si>
    <t xml:space="preserve">SARL HORIZON SOL </t>
  </si>
  <si>
    <t>BASEROLO</t>
  </si>
  <si>
    <t xml:space="preserve">SAS EBM BATIMENT </t>
  </si>
  <si>
    <t>SCI CRESCENDO</t>
  </si>
  <si>
    <t>SCI MULINO</t>
  </si>
  <si>
    <t xml:space="preserve">SCI MARMO </t>
  </si>
  <si>
    <t>ALAMI-AROUSSI AHMED</t>
  </si>
  <si>
    <t>ZERZOURI LAMIAE</t>
  </si>
  <si>
    <t>OUALI SALWA</t>
  </si>
  <si>
    <t>HMAM IKRAM</t>
  </si>
  <si>
    <t>BOUFTIHA LAMIYAA</t>
  </si>
  <si>
    <t>ENNAJIH SALMA</t>
  </si>
  <si>
    <t>BARNASSO HAMZA</t>
  </si>
  <si>
    <t>NAKHLA AYA</t>
  </si>
  <si>
    <t>LYACOUBI HOUDA</t>
  </si>
  <si>
    <t>MOULINE SALMA</t>
  </si>
  <si>
    <t>IMP-20260806-104505-001</t>
  </si>
  <si>
    <t>\\uf11pu01\ACCESSIBILITÉ_CONSEILLERS\EPITHETE\EPITHETE_2\LOKOA éditeur Abonnés v.31.07.26 (source).xlsx</t>
  </si>
  <si>
    <t>OUBRAHMO</t>
  </si>
  <si>
    <t>IMPORTATION</t>
  </si>
  <si>
    <t>LOKOA</t>
  </si>
  <si>
    <t>SDE0292842741001C6</t>
  </si>
  <si>
    <t>123456Az</t>
  </si>
  <si>
    <t>FR76 1009 6180 5000 0543 4450 164</t>
  </si>
  <si>
    <t>ok</t>
  </si>
  <si>
    <t>IMP-20260805-165625-001</t>
  </si>
  <si>
    <t>OK</t>
  </si>
  <si>
    <t>La société est dirigée par une personne morale.</t>
  </si>
  <si>
    <t>SDE0292842741001XO</t>
  </si>
  <si>
    <t>SDE0292842741001XV</t>
  </si>
  <si>
    <t>SDE0292842741001XZ</t>
  </si>
  <si>
    <t>SDE0292842741001XK</t>
  </si>
  <si>
    <t>SDE0292842741001XL</t>
  </si>
  <si>
    <t>SDE0292842741001XS</t>
  </si>
  <si>
    <t>SDE0292842741001XR</t>
  </si>
  <si>
    <t>SDE0292842741001XN</t>
  </si>
  <si>
    <t>SDE0292842741001XQ</t>
  </si>
  <si>
    <t>SDE0292842741001XP</t>
  </si>
  <si>
    <t>SDE0292842741001XW</t>
  </si>
  <si>
    <t>SDE0292842741001XM</t>
  </si>
  <si>
    <t>SDE0292842741001XU</t>
  </si>
  <si>
    <t>SDE0292842741001XX</t>
  </si>
  <si>
    <t>IMP-20260806-104505-002</t>
  </si>
  <si>
    <t>IMP-20260805-165625-002</t>
  </si>
  <si>
    <t>IMP-20260806-104505-003</t>
  </si>
  <si>
    <t>IMP-20260805-165625-003</t>
  </si>
  <si>
    <t>IMP-20260806-104505-004</t>
  </si>
  <si>
    <t>IMP-20260805-165625-004</t>
  </si>
  <si>
    <t>IMP-20260806-104505-005</t>
  </si>
  <si>
    <t>Étiquettes de lignes</t>
  </si>
  <si>
    <t>Total général</t>
  </si>
  <si>
    <t>Étiquettes de colonnes</t>
  </si>
  <si>
    <t>Nombre de Raison sociale</t>
  </si>
  <si>
    <t>Nombre de ID Import</t>
  </si>
  <si>
    <t>Nombre de Agent</t>
  </si>
  <si>
    <t>Consolidation</t>
  </si>
  <si>
    <t>CAPM EUROPE SA</t>
  </si>
  <si>
    <t>CHARLES SERVICES</t>
  </si>
  <si>
    <t>DOMINO</t>
  </si>
  <si>
    <t>RESOSAFE</t>
  </si>
  <si>
    <t>ROS DIGITAL 75</t>
  </si>
  <si>
    <t>ROS DIGITAL 91</t>
  </si>
  <si>
    <t>ROS DIGITAL IDF SUD</t>
  </si>
  <si>
    <t>ROS DIGITAL SERVICES</t>
  </si>
  <si>
    <t>STE AM2</t>
  </si>
  <si>
    <t>TAURAND SERVICE MANUTENTION</t>
  </si>
  <si>
    <t>VIDEOJET TECHNOLOGIES</t>
  </si>
  <si>
    <t>ATELIER OLIVIER CHARNAY TELECOM</t>
  </si>
  <si>
    <t>AU COMPTOIR DE LA CAISSE</t>
  </si>
  <si>
    <t>AXIOR</t>
  </si>
  <si>
    <t>AXSAONE</t>
  </si>
  <si>
    <t>C2B INVESTISSEMENT</t>
  </si>
  <si>
    <t>COMM PRO</t>
  </si>
  <si>
    <t>DOCUMENT SOLUTIONS INFORMATIQUES</t>
  </si>
  <si>
    <t>ENTREPRISE TELEPHONIQUE GENERALE</t>
  </si>
  <si>
    <t>ETABLISSEMENTS TIFLEX</t>
  </si>
  <si>
    <t>GILLES MOREL</t>
  </si>
  <si>
    <t>HUBTEX FRANCE</t>
  </si>
  <si>
    <t>MANUSTRA</t>
  </si>
  <si>
    <t>MANUTENTION SERVICE</t>
  </si>
  <si>
    <t>MS 42</t>
  </si>
  <si>
    <t>ORGANIGAM BUREAUTIQUE</t>
  </si>
  <si>
    <t>REX ROTARY CHAMBERY</t>
  </si>
  <si>
    <t>RISO AIX EN PCE/MARSEILLE</t>
  </si>
  <si>
    <t>RISO PARIS</t>
  </si>
  <si>
    <t>SOGEMA</t>
  </si>
  <si>
    <t>SYBORD</t>
  </si>
  <si>
    <t>TERAMAT AUVERGNE</t>
  </si>
  <si>
    <t>YNOV IT SUD</t>
  </si>
  <si>
    <t>ACTEMIS</t>
  </si>
  <si>
    <t>AXENS</t>
  </si>
  <si>
    <t>B CONTACT DEVELOPPEMENT</t>
  </si>
  <si>
    <t>B CONTACT PROVENCE</t>
  </si>
  <si>
    <t>B2M</t>
  </si>
  <si>
    <t>COPIE CONFORME</t>
  </si>
  <si>
    <t>DATA BURO</t>
  </si>
  <si>
    <t>ELECTRO CALORIQUE</t>
  </si>
  <si>
    <t>G 2 A</t>
  </si>
  <si>
    <t>INPS GROUPE</t>
  </si>
  <si>
    <t>MARKEM-IMAJE SAS</t>
  </si>
  <si>
    <t>MODERNE D ORGANISATION DE BUREAU</t>
  </si>
  <si>
    <t>NEO OFFICE</t>
  </si>
  <si>
    <t>REX ROTARY</t>
  </si>
  <si>
    <t>SA GAI FRANCE</t>
  </si>
  <si>
    <t>SECURITAS TECHNOLOGIES</t>
  </si>
  <si>
    <t>SMB</t>
  </si>
  <si>
    <t>SOCIETE BIZON MATERIEL</t>
  </si>
  <si>
    <t>SRE</t>
  </si>
  <si>
    <t>SUDALPES SERVICES</t>
  </si>
  <si>
    <t>TCEM AGENCE AVIGNON</t>
  </si>
  <si>
    <t>TCEM AGENCE NICE</t>
  </si>
  <si>
    <t>TCEM AGENCE TOULON</t>
  </si>
  <si>
    <t>TERRACULTURE</t>
  </si>
  <si>
    <t>ALLIANCE BOIS MATERIEL</t>
  </si>
  <si>
    <t>BUROLOGIC</t>
  </si>
  <si>
    <t>BUROLOGIC 49</t>
  </si>
  <si>
    <t>BUROLOGIC 79</t>
  </si>
  <si>
    <t>BUROLOGIC 85</t>
  </si>
  <si>
    <t>CTV</t>
  </si>
  <si>
    <t>SIREN TELECOMS</t>
  </si>
  <si>
    <t>SOLSTIS</t>
  </si>
  <si>
    <t>SRB BLANCHARD</t>
  </si>
  <si>
    <t>STE VIENNE DOCUMENTIQUE</t>
  </si>
  <si>
    <t>TOSHIBA CENTRE GRAND OUEST BLOIS</t>
  </si>
  <si>
    <t>ALGAN-SIREC</t>
  </si>
  <si>
    <t>EKTOR</t>
  </si>
  <si>
    <t>REPROLAND</t>
  </si>
  <si>
    <t>SARL MAZOYER</t>
  </si>
  <si>
    <t>START SECURE 3%</t>
  </si>
  <si>
    <t>START SECURE 4,52%</t>
  </si>
  <si>
    <t>BLANCHARD TP NORMANDIE</t>
  </si>
  <si>
    <t>DEMOLIN NORMANDIE</t>
  </si>
  <si>
    <t>LOUTZ CHARIOTS ELEVATEURS</t>
  </si>
  <si>
    <t>MANUCO SERVICES</t>
  </si>
  <si>
    <t>MASSELIN COMMUNICATION</t>
  </si>
  <si>
    <t>UNITED TELECOM ET TRAVAUX</t>
  </si>
  <si>
    <t>UNITED TELECOM OUEST</t>
  </si>
  <si>
    <t>ACCURAY EUROPE</t>
  </si>
  <si>
    <t>CANON MEDICAL PUBLIC</t>
  </si>
  <si>
    <t>CANON MEDICAL SYSTEMS FRANCE SAS</t>
  </si>
  <si>
    <t>CARDIO PRIVE</t>
  </si>
  <si>
    <t>CARDIO PUBLIC</t>
  </si>
  <si>
    <t>CT PRIVE</t>
  </si>
  <si>
    <t>ECHO CARDIO</t>
  </si>
  <si>
    <t>ECHO GYNECO</t>
  </si>
  <si>
    <t>ESAOTE MEDICAL</t>
  </si>
  <si>
    <t>FILMS ACCESSOIRES SERVICES</t>
  </si>
  <si>
    <t>FUJIFILM HEALTHCARE FRANCE SAS</t>
  </si>
  <si>
    <t>GE HEALTHCARE EQUIPMENT FINANCE</t>
  </si>
  <si>
    <t>GE HEF - ECHO RADIO</t>
  </si>
  <si>
    <t>GE MEDICAL SYSTEM ULTRASOUND &amp;</t>
  </si>
  <si>
    <t>GE MEDICAL SYSTEMS</t>
  </si>
  <si>
    <t>IMAGING - CT PUBLIC</t>
  </si>
  <si>
    <t>IMAGING - MI PUBLIC</t>
  </si>
  <si>
    <t>IMAGING - MR PUBLIC</t>
  </si>
  <si>
    <t>IMAGING MI PRIVE</t>
  </si>
  <si>
    <t>MAMMOGRAPHIE PRIVE</t>
  </si>
  <si>
    <t>MAMMOGRAPHIE PUBLIC</t>
  </si>
  <si>
    <t>SDE0292842741001VK</t>
  </si>
  <si>
    <t>SDE0292842741001WA</t>
  </si>
  <si>
    <t>SDE0292842741001VP</t>
  </si>
  <si>
    <t>SDE0292842741001WE</t>
  </si>
  <si>
    <t>SDE0292842741001WI</t>
  </si>
  <si>
    <t>société Fermé</t>
  </si>
  <si>
    <t>SDE0292842741001WM</t>
  </si>
  <si>
    <t>SDE0292842741001WQ</t>
  </si>
  <si>
    <t>SDE0292842741001WR</t>
  </si>
  <si>
    <t xml:space="preserve">    La société est dirigée par une personne morale.    ,</t>
  </si>
  <si>
    <t>SDE0292842741001VT</t>
  </si>
  <si>
    <t>SDE0292842741001VZ</t>
  </si>
  <si>
    <t>société Fermé       ,</t>
  </si>
  <si>
    <t>SDE0292842741001WB</t>
  </si>
  <si>
    <t>SDE0292842741001WK</t>
  </si>
  <si>
    <t>SDE0292842741001WV</t>
  </si>
  <si>
    <t>70031553390070 </t>
  </si>
  <si>
    <t>SDE0292842741001X6</t>
  </si>
  <si>
    <t>SDE0292842741001XE</t>
  </si>
  <si>
    <t>SDE0292842741001XH</t>
  </si>
  <si>
    <t>SDE0292842741001XI</t>
  </si>
  <si>
    <t>SDE0292842741001VM</t>
  </si>
  <si>
    <t>SDE0292842741001VU</t>
  </si>
  <si>
    <t>SDE0292842741001WD</t>
  </si>
  <si>
    <t>SDE0292842741001WO</t>
  </si>
  <si>
    <t xml:space="preserve">société Fermé       </t>
  </si>
  <si>
    <t>SDE0292842741001WT</t>
  </si>
  <si>
    <t>SDE0292842741001X8</t>
  </si>
  <si>
    <t xml:space="preserve">Absence de la date de naissance du dirigeant </t>
  </si>
  <si>
    <t>SDE0292842741001XC</t>
  </si>
  <si>
    <t>SDE0292842741001XD</t>
  </si>
  <si>
    <t>SDE0292842741001VL</t>
  </si>
  <si>
    <t>SDE0292842741001VS</t>
  </si>
  <si>
    <t>SDE0292842741001VY</t>
  </si>
  <si>
    <t>SDE0292842741001W0</t>
  </si>
  <si>
    <t>SDE0292842741001W7</t>
  </si>
  <si>
    <t>SDE0292842741001WF</t>
  </si>
  <si>
    <t>IMP-20260806-104505-006</t>
  </si>
  <si>
    <t>IMP-20260806-104505-007</t>
  </si>
  <si>
    <t>IMP-20260806-104505-008</t>
  </si>
  <si>
    <t>IMP-20260806-104505-009</t>
  </si>
  <si>
    <t>IMP-20260806-104505-010</t>
  </si>
  <si>
    <t>IMP-20260806-104505-011</t>
  </si>
  <si>
    <t>IMP-20260806-104505-012</t>
  </si>
  <si>
    <t>IMP-20260806-104505-013</t>
  </si>
  <si>
    <t>IMP-20260806-104505-014</t>
  </si>
  <si>
    <t>IMP-20260806-104505-015</t>
  </si>
  <si>
    <t>IMP-20260806-104505-016</t>
  </si>
  <si>
    <t>IMP-20260806-104505-017</t>
  </si>
  <si>
    <t>IMP-20260806-104505-018</t>
  </si>
  <si>
    <t>IMP-20260806-104505-019</t>
  </si>
  <si>
    <t>IMP-20260806-104505-020</t>
  </si>
  <si>
    <t>IMP-20260806-104505-021</t>
  </si>
  <si>
    <t>IMP-20260806-104505-022</t>
  </si>
  <si>
    <t>IMP-20260806-104505-023</t>
  </si>
  <si>
    <t>IMP-20260806-104505-024</t>
  </si>
  <si>
    <t>IMP-20260806-104505-025</t>
  </si>
  <si>
    <t>IMP-20260806-104505-026</t>
  </si>
  <si>
    <t>IMP-20260806-104505-027</t>
  </si>
  <si>
    <t>IMP-20260806-104505-028</t>
  </si>
  <si>
    <t>IMP-20260806-104505-029</t>
  </si>
  <si>
    <t>IMP-20260806-104505-030</t>
  </si>
  <si>
    <t>IMP-20260806-104505-031</t>
  </si>
  <si>
    <t>IMP-20260806-104505-032</t>
  </si>
  <si>
    <t>IMP-20260806-104505-033</t>
  </si>
  <si>
    <t>IMP-20260806-104505-034</t>
  </si>
  <si>
    <t>IMP-20260806-104505-035</t>
  </si>
  <si>
    <t>IMP-20260806-104505-036</t>
  </si>
  <si>
    <t>IMP-20260806-104505-037</t>
  </si>
  <si>
    <t>IMP-20260806-104505-038</t>
  </si>
  <si>
    <t>IMP-20260806-104505-039</t>
  </si>
  <si>
    <t>IMP-20260806-104505-040</t>
  </si>
  <si>
    <t>IMP-20260806-104505-041</t>
  </si>
  <si>
    <t>IMP-20260806-104505-042</t>
  </si>
  <si>
    <t>IMP-20260806-104505-043</t>
  </si>
  <si>
    <t>IMP-20260806-104505-044</t>
  </si>
  <si>
    <t>IMP-20260806-104505-045</t>
  </si>
  <si>
    <t>IMP-20260806-104505-046</t>
  </si>
  <si>
    <t>IMP-20260806-104505-047</t>
  </si>
  <si>
    <t>IMP-20260806-104505-048</t>
  </si>
  <si>
    <t>IMP-20260806-104505-049</t>
  </si>
  <si>
    <t>IMP-20260806-104505-050</t>
  </si>
  <si>
    <t>IMP-20260806-104505-051</t>
  </si>
  <si>
    <t>IMP-20260806-104505-052</t>
  </si>
  <si>
    <t>IMP-20260806-104505-053</t>
  </si>
  <si>
    <t>IMP-20260806-104505-054</t>
  </si>
  <si>
    <t>IMP-20260806-104505-055</t>
  </si>
  <si>
    <t>IMP-20260806-104505-056</t>
  </si>
  <si>
    <t>IMP-20260806-104505-057</t>
  </si>
  <si>
    <t>IMP-20260806-104505-058</t>
  </si>
  <si>
    <t>IMP-20260806-104505-059</t>
  </si>
  <si>
    <t>IMP-20260806-104505-060</t>
  </si>
  <si>
    <t>IMP-20260806-104505-061</t>
  </si>
  <si>
    <t>IMP-20260806-104505-062</t>
  </si>
  <si>
    <t>IMP-20260806-104505-063</t>
  </si>
  <si>
    <t>IMP-20260806-104505-064</t>
  </si>
  <si>
    <t>IMP-20260806-104505-065</t>
  </si>
  <si>
    <t>IMP-20260806-104505-066</t>
  </si>
  <si>
    <t>IMP-20260806-104505-067</t>
  </si>
  <si>
    <t>IMP-20260806-104505-068</t>
  </si>
  <si>
    <t>IMP-20260806-104505-069</t>
  </si>
  <si>
    <t>IMP-20260806-104505-070</t>
  </si>
  <si>
    <t>IMP-20260806-104505-071</t>
  </si>
  <si>
    <t>IMP-20260806-104505-072</t>
  </si>
  <si>
    <t>IMP-20260806-104505-073</t>
  </si>
  <si>
    <t>IMP-20260806-104505-074</t>
  </si>
  <si>
    <t>IMP-20260806-104505-075</t>
  </si>
  <si>
    <t>IMP-20260806-104505-076</t>
  </si>
  <si>
    <t>IMP-20260806-104505-077</t>
  </si>
  <si>
    <t>IMP-20260806-104505-078</t>
  </si>
  <si>
    <t>IMP-20260806-104505-079</t>
  </si>
  <si>
    <t>IMP-20260806-104505-080</t>
  </si>
  <si>
    <t>IMP-20260806-104505-081</t>
  </si>
  <si>
    <t>IMP-20260806-104505-082</t>
  </si>
  <si>
    <t>IMP-20260806-104505-083</t>
  </si>
  <si>
    <t>IMP-20260806-104505-084</t>
  </si>
  <si>
    <t>IMP-20260806-104505-085</t>
  </si>
  <si>
    <t>IMP-20260806-104505-086</t>
  </si>
  <si>
    <t>IMP-20260806-104505-087</t>
  </si>
  <si>
    <t>IMP-20260806-104505-088</t>
  </si>
  <si>
    <t>IMP-20260806-104505-089</t>
  </si>
  <si>
    <t>IMP-20260806-104505-090</t>
  </si>
  <si>
    <t>IMP-20260806-104505-091</t>
  </si>
  <si>
    <t>IMP-20260806-104505-092</t>
  </si>
  <si>
    <t>IMP-20260806-104505-093</t>
  </si>
  <si>
    <t>IMP-20260806-104505-094</t>
  </si>
  <si>
    <t>IMP-20260806-104505-095</t>
  </si>
  <si>
    <t>IMP-20260806-104505-096</t>
  </si>
  <si>
    <t>IMP-20260806-104505-097</t>
  </si>
  <si>
    <t>IMP-20260806-104505-098</t>
  </si>
  <si>
    <t>IMP-20260806-104505-099</t>
  </si>
  <si>
    <t>IMP-20260806-104505-100</t>
  </si>
  <si>
    <t>IMP-20260806-104505-101</t>
  </si>
  <si>
    <t>IMP-20260806-104505-102</t>
  </si>
  <si>
    <t>IMP-20260806-104505-103</t>
  </si>
  <si>
    <t>IMP-20260806-104505-104</t>
  </si>
  <si>
    <t>IMP-20260806-104505-105</t>
  </si>
  <si>
    <t>IMP-20260806-104505-106</t>
  </si>
  <si>
    <t>IMP-20260806-104505-107</t>
  </si>
  <si>
    <t>SDE0292842741001WS</t>
  </si>
  <si>
    <t>SDE0292842741001WW</t>
  </si>
  <si>
    <t>doublon</t>
  </si>
  <si>
    <t>SDE0292842741001X3</t>
  </si>
  <si>
    <t>SDE0292842741001VQ</t>
  </si>
  <si>
    <t>SDE0292842741001W9</t>
  </si>
  <si>
    <t>SDE0292842741001WJ</t>
  </si>
  <si>
    <t>SDE0292842741001X0</t>
  </si>
  <si>
    <t xml:space="preserve">	70031546406030</t>
  </si>
  <si>
    <t>SDE0292842741001X5</t>
  </si>
  <si>
    <t>SDE0292842741001XA</t>
  </si>
  <si>
    <t>SIRET faux</t>
  </si>
  <si>
    <t>SDE0292842741001VO</t>
  </si>
  <si>
    <t>SDE0292842741001W2</t>
  </si>
  <si>
    <t>SDE0292842741001WC</t>
  </si>
  <si>
    <t>SDE0292842741001WH</t>
  </si>
  <si>
    <t>SDE0292842741001WL</t>
  </si>
  <si>
    <t>SDE0292842741001WP</t>
  </si>
  <si>
    <t>SDE0292842741001X7</t>
  </si>
  <si>
    <t>SDE0292842741001X9</t>
  </si>
  <si>
    <t xml:space="preserve">absence n° SIRET </t>
  </si>
  <si>
    <t>SDE0292842741001WU</t>
  </si>
  <si>
    <t>SDE0292842741001VV</t>
  </si>
  <si>
    <t>SDE0292842741001W4</t>
  </si>
  <si>
    <t>SDE0292842741001W6</t>
  </si>
  <si>
    <t xml:space="preserve">mot de passe incorrecte </t>
  </si>
  <si>
    <t>SDE0292842741001W8</t>
  </si>
  <si>
    <t>SDE0292842741001WG</t>
  </si>
  <si>
    <t>SDE0292842741001WN</t>
  </si>
  <si>
    <t>E</t>
  </si>
  <si>
    <t>CCLS v.27.07.2026</t>
  </si>
  <si>
    <t>Affectater</t>
  </si>
  <si>
    <t>Traiter</t>
  </si>
  <si>
    <t>Date mise en attente</t>
  </si>
  <si>
    <t>ClÃ©</t>
  </si>
  <si>
    <t>N° Abonné CSP</t>
  </si>
  <si>
    <t>IBAN prélèvement</t>
  </si>
  <si>
    <t>N° Abonné</t>
  </si>
  <si>
    <t>Amine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</si>
</sst>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\ hh:mm:ss"/>
    <numFmt numFmtId="165" formatCode="dd/mm/yy;@"/>
    <numFmt numFmtId="166" formatCode="dd/mm/yyyy\ hh:mm"/>
    <numFmt numFmtId="167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0D7E5"/>
      </bottom>
      <diagonal/>
    </border>
    <border>
      <left style="thin">
        <color indexed="64"/>
      </left>
      <right style="thin">
        <color indexed="64"/>
      </right>
      <top style="thin">
        <color rgb="FFD0D7E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0D7E5"/>
      </top>
      <bottom style="thin">
        <color rgb="FFD0D7E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1" fontId="1" fillId="0" borderId="0" xfId="0" applyNumberFormat="1" applyFont="1"/>
    <xf numFmtId="1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/>
    <xf numFmtId="1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65" fontId="0" fillId="0" borderId="1" xfId="0" applyNumberFormat="1" applyBorder="1"/>
    <xf numFmtId="165" fontId="0" fillId="3" borderId="1" xfId="0" applyNumberFormat="1" applyFill="1" applyBorder="1"/>
    <xf numFmtId="0" fontId="0" fillId="0" borderId="1" xfId="0" applyBorder="1"/>
    <xf numFmtId="165" fontId="2" fillId="3" borderId="1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1" fontId="4" fillId="0" borderId="2" xfId="0" applyNumberFormat="1" applyFont="1" applyBorder="1" applyAlignment="1">
      <alignment horizontal="right" vertical="center" wrapText="1"/>
    </xf>
    <xf numFmtId="1" fontId="4" fillId="2" borderId="2" xfId="0" applyNumberFormat="1" applyFont="1" applyFill="1" applyBorder="1" applyAlignment="1">
      <alignment horizontal="right" vertical="center" wrapText="1"/>
    </xf>
    <xf numFmtId="1" fontId="4" fillId="0" borderId="3" xfId="0" applyNumberFormat="1" applyFont="1" applyBorder="1" applyAlignment="1">
      <alignment horizontal="right" vertical="center" wrapText="1"/>
    </xf>
    <xf numFmtId="1" fontId="4" fillId="2" borderId="4" xfId="0" applyNumberFormat="1" applyFont="1" applyFill="1" applyBorder="1" applyAlignment="1">
      <alignment horizontal="right" vertical="center" wrapText="1"/>
    </xf>
    <xf numFmtId="1" fontId="4" fillId="2" borderId="5" xfId="0" applyNumberFormat="1" applyFont="1" applyFill="1" applyBorder="1" applyAlignment="1">
      <alignment horizontal="right" vertical="center" wrapText="1"/>
    </xf>
    <xf numFmtId="1" fontId="4" fillId="2" borderId="6" xfId="0" applyNumberFormat="1" applyFont="1" applyFill="1" applyBorder="1" applyAlignment="1">
      <alignment horizontal="right" vertical="center" wrapText="1"/>
    </xf>
    <xf numFmtId="1" fontId="4" fillId="0" borderId="1" xfId="0" applyNumberFormat="1" applyFont="1" applyBorder="1" applyAlignment="1">
      <alignment horizontal="right" vertical="center" wrapText="1"/>
    </xf>
    <xf numFmtId="1" fontId="4" fillId="2" borderId="1" xfId="0" applyNumberFormat="1" applyFont="1" applyFill="1" applyBorder="1" applyAlignment="1">
      <alignment horizontal="right" vertical="center" wrapText="1"/>
    </xf>
    <xf numFmtId="0" fontId="0" fillId="0" borderId="7" xfId="0" applyFill="1" applyBorder="1" applyAlignment="1">
      <alignment horizontal="left"/>
    </xf>
    <xf numFmtId="14" fontId="0" fillId="0" borderId="0" xfId="0" applyNumberFormat="1"/>
    <xf numFmtId="1" fontId="4" fillId="2" borderId="8" xfId="0" applyNumberFormat="1" applyFont="1" applyFill="1" applyBorder="1" applyAlignment="1">
      <alignment horizontal="right" vertical="center" wrapText="1"/>
    </xf>
    <xf numFmtId="0" fontId="4" fillId="0" borderId="8" xfId="0" applyFont="1" applyBorder="1" applyAlignment="1">
      <alignment vertical="center" wrapText="1"/>
    </xf>
    <xf numFmtId="0" fontId="0" fillId="0" borderId="0" xfId="0" applyBorder="1"/>
    <xf numFmtId="14" fontId="0" fillId="0" borderId="0" xfId="0" applyNumberFormat="1" applyBorder="1"/>
    <xf numFmtId="0" fontId="0" fillId="2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4" fontId="1" fillId="0" borderId="0" xfId="0" applyNumberFormat="1" applyFont="1"/>
    <xf numFmtId="14" fontId="0" fillId="0" borderId="1" xfId="0" applyNumberFormat="1" applyBorder="1" applyAlignment="1">
      <alignment horizontal="left"/>
    </xf>
  </cellXfs>
  <cellStyles count="1">
    <cellStyle name="Normal" xfId="0" builtinId="0"/>
  </cellStyles>
  <dxfs count="21">
    <dxf>
      <numFmt numFmtId="19" formatCode="dd/mm/yy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2779EF"/>
      <color rgb="FF1465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[MANAGER.xlsm]Feuil1!Tableau croisé dynamique7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102697689104648"/>
          <c:y val="9.7960426179604279E-2"/>
          <c:w val="0.5808164768877575"/>
          <c:h val="0.632948141756253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Feuil1!$W$3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Feuil1!$V$4:$V$6</c:f>
              <c:strCache>
                <c:ptCount val="2"/>
                <c:pt idx="0">
                  <c:v>CCLS v.27.07.2026</c:v>
                </c:pt>
                <c:pt idx="1">
                  <c:v>LOKOA éditeur Abonnés v.31.07.26 (source).xlsx</c:v>
                </c:pt>
              </c:strCache>
            </c:strRef>
          </c:cat>
          <c:val>
            <c:numRef>
              <c:f>Feuil1!$W$4:$W$6</c:f>
              <c:numCache>
                <c:formatCode>General</c:formatCode>
                <c:ptCount val="2"/>
                <c:pt idx="0">
                  <c:v>102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C-49BD-AD25-8D617A6601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1364591"/>
        <c:axId val="411354191"/>
      </c:barChart>
      <c:catAx>
        <c:axId val="41136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1354191"/>
        <c:crosses val="autoZero"/>
        <c:auto val="1"/>
        <c:lblAlgn val="ctr"/>
        <c:lblOffset val="100"/>
        <c:noMultiLvlLbl val="0"/>
      </c:catAx>
      <c:valAx>
        <c:axId val="41135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1364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[MANAGER.xlsm]Feuil1!Tableau croisé dynamique6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Répartition des types de Factures</a:t>
            </a:r>
            <a:endParaRPr lang="fr-F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88132050254815"/>
              <c:y val="3.933941324856821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7622925832258974E-2"/>
              <c:y val="-0.114441929450380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88132050254815"/>
              <c:y val="3.933941324856821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7622925832258974E-2"/>
              <c:y val="-0.114441929450380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88132050254815"/>
              <c:y val="3.933941324856821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7622925832258974E-2"/>
              <c:y val="-0.114441929450380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Feuil1!$T$3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42-46EA-88F1-5CB679A0029D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42-46EA-88F1-5CB679A0029D}"/>
              </c:ext>
            </c:extLst>
          </c:dPt>
          <c:dLbls>
            <c:dLbl>
              <c:idx val="0"/>
              <c:layout>
                <c:manualLayout>
                  <c:x val="0.14988132050254815"/>
                  <c:y val="3.93394132485682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42-46EA-88F1-5CB679A0029D}"/>
                </c:ext>
              </c:extLst>
            </c:dLbl>
            <c:dLbl>
              <c:idx val="1"/>
              <c:layout>
                <c:manualLayout>
                  <c:x val="-8.7622925832258974E-2"/>
                  <c:y val="-0.114441929450380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42-46EA-88F1-5CB679A002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Feuil1!$S$4:$S$6</c:f>
              <c:strCache>
                <c:ptCount val="2"/>
                <c:pt idx="0">
                  <c:v>E</c:v>
                </c:pt>
                <c:pt idx="1">
                  <c:v>E+R</c:v>
                </c:pt>
              </c:strCache>
            </c:strRef>
          </c:cat>
          <c:val>
            <c:numRef>
              <c:f>Feuil1!$T$4:$T$6</c:f>
              <c:numCache>
                <c:formatCode>General</c:formatCode>
                <c:ptCount val="2"/>
                <c:pt idx="0">
                  <c:v>102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42-46EA-88F1-5CB679A002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[MANAGER.xlsm]Feuil1!Tableau croisé dynamique5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Nombre de dossiers par Agent</a:t>
            </a:r>
            <a:endParaRPr lang="fr-FR">
              <a:effectLst/>
            </a:endParaRPr>
          </a:p>
        </c:rich>
      </c:tx>
      <c:layout>
        <c:manualLayout>
          <c:xMode val="edge"/>
          <c:yMode val="edge"/>
          <c:x val="1.2070497939445479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Feuil1!$Q$3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Feuil1!$P$4:$P$14</c:f>
              <c:strCache>
                <c:ptCount val="10"/>
                <c:pt idx="0">
                  <c:v>ALAMI-AROUSSI AHMED</c:v>
                </c:pt>
                <c:pt idx="1">
                  <c:v>BARNASSO HAMZA</c:v>
                </c:pt>
                <c:pt idx="2">
                  <c:v>BOUFTIHA LAMIYAA</c:v>
                </c:pt>
                <c:pt idx="3">
                  <c:v>ENNAJIH SALMA</c:v>
                </c:pt>
                <c:pt idx="4">
                  <c:v>HMAM IKRAM</c:v>
                </c:pt>
                <c:pt idx="5">
                  <c:v>LYACOUBI HOUDA</c:v>
                </c:pt>
                <c:pt idx="6">
                  <c:v>MOULINE SALMA</c:v>
                </c:pt>
                <c:pt idx="7">
                  <c:v>NAKHLA AYA</c:v>
                </c:pt>
                <c:pt idx="8">
                  <c:v>OUALI SALWA</c:v>
                </c:pt>
                <c:pt idx="9">
                  <c:v>ZERZOURI LAMIAE</c:v>
                </c:pt>
              </c:strCache>
            </c:strRef>
          </c:cat>
          <c:val>
            <c:numRef>
              <c:f>Feuil1!$Q$4:$Q$14</c:f>
              <c:numCache>
                <c:formatCode>General</c:formatCode>
                <c:ptCount val="10"/>
                <c:pt idx="0">
                  <c:v>18</c:v>
                </c:pt>
                <c:pt idx="1">
                  <c:v>2</c:v>
                </c:pt>
                <c:pt idx="2">
                  <c:v>2</c:v>
                </c:pt>
                <c:pt idx="3">
                  <c:v>18</c:v>
                </c:pt>
                <c:pt idx="4">
                  <c:v>16</c:v>
                </c:pt>
                <c:pt idx="5">
                  <c:v>13</c:v>
                </c:pt>
                <c:pt idx="6">
                  <c:v>19</c:v>
                </c:pt>
                <c:pt idx="7">
                  <c:v>17</c:v>
                </c:pt>
                <c:pt idx="8">
                  <c:v>16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1-4F17-AE82-81F662052C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23043519"/>
        <c:axId val="1723051839"/>
      </c:barChart>
      <c:catAx>
        <c:axId val="17230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3051839"/>
        <c:crosses val="autoZero"/>
        <c:auto val="1"/>
        <c:lblAlgn val="ctr"/>
        <c:lblOffset val="100"/>
        <c:noMultiLvlLbl val="0"/>
      </c:catAx>
      <c:valAx>
        <c:axId val="172305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30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3.xml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chart" Target="../charts/chart2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chart" Target="../charts/chart1.xml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20</xdr:col>
      <xdr:colOff>487467</xdr:colOff>
      <xdr:row>4</xdr:row>
      <xdr:rowOff>142875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0" y="0"/>
          <a:ext cx="14584467" cy="90487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317534</xdr:colOff>
      <xdr:row>4</xdr:row>
      <xdr:rowOff>76199</xdr:rowOff>
    </xdr:from>
    <xdr:to>
      <xdr:col>20</xdr:col>
      <xdr:colOff>677970</xdr:colOff>
      <xdr:row>27</xdr:row>
      <xdr:rowOff>66674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41534" y="838199"/>
          <a:ext cx="14076436" cy="4371975"/>
        </a:xfrm>
        <a:prstGeom prst="rect">
          <a:avLst/>
        </a:prstGeom>
      </xdr:spPr>
    </xdr:pic>
    <xdr:clientData/>
  </xdr:twoCellAnchor>
  <xdr:twoCellAnchor>
    <xdr:from>
      <xdr:col>9</xdr:col>
      <xdr:colOff>38100</xdr:colOff>
      <xdr:row>30</xdr:row>
      <xdr:rowOff>66675</xdr:rowOff>
    </xdr:from>
    <xdr:to>
      <xdr:col>14</xdr:col>
      <xdr:colOff>285750</xdr:colOff>
      <xdr:row>33</xdr:row>
      <xdr:rowOff>47625</xdr:rowOff>
    </xdr:to>
    <xdr:sp macro="[0]!from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896100" y="5781675"/>
          <a:ext cx="4057650" cy="552450"/>
        </a:xfrm>
        <a:prstGeom prst="roundRect">
          <a:avLst/>
        </a:prstGeom>
        <a:ln/>
        <a:effectLst>
          <a:glow rad="139700">
            <a:schemeClr val="accent1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/>
            <a:t>Démarrer le Pilotage</a:t>
          </a:r>
          <a:endParaRPr lang="fr-FR" sz="1100"/>
        </a:p>
      </xdr:txBody>
    </xdr:sp>
    <xdr:clientData/>
  </xdr:twoCellAnchor>
  <xdr:twoCellAnchor>
    <xdr:from>
      <xdr:col>19</xdr:col>
      <xdr:colOff>561976</xdr:colOff>
      <xdr:row>0</xdr:row>
      <xdr:rowOff>9528</xdr:rowOff>
    </xdr:from>
    <xdr:to>
      <xdr:col>23</xdr:col>
      <xdr:colOff>319089</xdr:colOff>
      <xdr:row>9</xdr:row>
      <xdr:rowOff>90488</xdr:rowOff>
    </xdr:to>
    <xdr:sp macro="" textlink="">
      <xdr:nvSpPr>
        <xdr:cNvPr id="3" name="Bande diagona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15544803" y="-495299"/>
          <a:ext cx="1795460" cy="2805113"/>
        </a:xfrm>
        <a:prstGeom prst="diagStri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66675</xdr:colOff>
      <xdr:row>2</xdr:row>
      <xdr:rowOff>171450</xdr:rowOff>
    </xdr:from>
    <xdr:to>
      <xdr:col>23</xdr:col>
      <xdr:colOff>171450</xdr:colOff>
      <xdr:row>4</xdr:row>
      <xdr:rowOff>133350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 rot="1940634">
          <a:off x="16068675" y="552450"/>
          <a:ext cx="16287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400" b="1">
              <a:solidFill>
                <a:schemeClr val="bg1"/>
              </a:solidFill>
            </a:rPr>
            <a:t>Manager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104774</xdr:colOff>
      <xdr:row>36</xdr:row>
      <xdr:rowOff>19050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2390774" cy="6877050"/>
          <a:chOff x="0" y="0"/>
          <a:chExt cx="2390774" cy="6877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0" y="0"/>
            <a:ext cx="2390774" cy="6877050"/>
          </a:xfrm>
          <a:prstGeom prst="rect">
            <a:avLst/>
          </a:prstGeom>
          <a:solidFill>
            <a:srgbClr val="01204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3350" y="76200"/>
            <a:ext cx="634799" cy="7429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0</xdr:row>
      <xdr:rowOff>152399</xdr:rowOff>
    </xdr:from>
    <xdr:to>
      <xdr:col>2</xdr:col>
      <xdr:colOff>466725</xdr:colOff>
      <xdr:row>4</xdr:row>
      <xdr:rowOff>19050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62000" y="152399"/>
          <a:ext cx="1228725" cy="62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bg1"/>
              </a:solidFill>
            </a:rPr>
            <a:t>EPITHETE</a:t>
          </a:r>
        </a:p>
        <a:p>
          <a:r>
            <a:rPr lang="fr-FR" sz="1400">
              <a:solidFill>
                <a:schemeClr val="bg1"/>
              </a:solidFill>
            </a:rPr>
            <a:t>MANAGER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304799</xdr:colOff>
      <xdr:row>0</xdr:row>
      <xdr:rowOff>47625</xdr:rowOff>
    </xdr:from>
    <xdr:to>
      <xdr:col>7</xdr:col>
      <xdr:colOff>352425</xdr:colOff>
      <xdr:row>3</xdr:row>
      <xdr:rowOff>104776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590799" y="47625"/>
          <a:ext cx="3095626" cy="62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ysClr val="windowText" lastClr="000000"/>
              </a:solidFill>
            </a:rPr>
            <a:t>Tableu de bord</a:t>
          </a:r>
        </a:p>
        <a:p>
          <a:r>
            <a:rPr lang="fr-FR" sz="1400">
              <a:solidFill>
                <a:srgbClr val="54648B"/>
              </a:solidFill>
            </a:rPr>
            <a:t>vue d'ensemble de l'activité EPITHETE</a:t>
          </a:r>
          <a:endParaRPr lang="fr-FR" sz="1100">
            <a:solidFill>
              <a:srgbClr val="54648B"/>
            </a:solidFill>
          </a:endParaRPr>
        </a:p>
      </xdr:txBody>
    </xdr:sp>
    <xdr:clientData/>
  </xdr:twoCellAnchor>
  <xdr:twoCellAnchor>
    <xdr:from>
      <xdr:col>0</xdr:col>
      <xdr:colOff>114301</xdr:colOff>
      <xdr:row>4</xdr:row>
      <xdr:rowOff>161925</xdr:rowOff>
    </xdr:from>
    <xdr:to>
      <xdr:col>3</xdr:col>
      <xdr:colOff>1</xdr:colOff>
      <xdr:row>6</xdr:row>
      <xdr:rowOff>171450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4301" y="923925"/>
          <a:ext cx="2171700" cy="390525"/>
        </a:xfrm>
        <a:prstGeom prst="roundRect">
          <a:avLst/>
        </a:prstGeom>
        <a:solidFill>
          <a:srgbClr val="1465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114301</xdr:colOff>
      <xdr:row>7</xdr:row>
      <xdr:rowOff>140970</xdr:rowOff>
    </xdr:from>
    <xdr:to>
      <xdr:col>3</xdr:col>
      <xdr:colOff>1</xdr:colOff>
      <xdr:row>9</xdr:row>
      <xdr:rowOff>150495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4301" y="1474470"/>
          <a:ext cx="2171700" cy="390525"/>
        </a:xfrm>
        <a:prstGeom prst="roundRect">
          <a:avLst/>
        </a:prstGeom>
        <a:solidFill>
          <a:srgbClr val="1465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114301</xdr:colOff>
      <xdr:row>10</xdr:row>
      <xdr:rowOff>120015</xdr:rowOff>
    </xdr:from>
    <xdr:to>
      <xdr:col>3</xdr:col>
      <xdr:colOff>1</xdr:colOff>
      <xdr:row>12</xdr:row>
      <xdr:rowOff>129540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14301" y="2025015"/>
          <a:ext cx="2171700" cy="390525"/>
        </a:xfrm>
        <a:prstGeom prst="roundRect">
          <a:avLst/>
        </a:prstGeom>
        <a:solidFill>
          <a:srgbClr val="1465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114301</xdr:colOff>
      <xdr:row>13</xdr:row>
      <xdr:rowOff>99060</xdr:rowOff>
    </xdr:from>
    <xdr:to>
      <xdr:col>3</xdr:col>
      <xdr:colOff>1</xdr:colOff>
      <xdr:row>15</xdr:row>
      <xdr:rowOff>108585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14301" y="2575560"/>
          <a:ext cx="2171700" cy="390525"/>
        </a:xfrm>
        <a:prstGeom prst="roundRect">
          <a:avLst/>
        </a:prstGeom>
        <a:solidFill>
          <a:srgbClr val="1465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114301</xdr:colOff>
      <xdr:row>16</xdr:row>
      <xdr:rowOff>78105</xdr:rowOff>
    </xdr:from>
    <xdr:to>
      <xdr:col>3</xdr:col>
      <xdr:colOff>1</xdr:colOff>
      <xdr:row>18</xdr:row>
      <xdr:rowOff>87630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14301" y="3126105"/>
          <a:ext cx="2171700" cy="390525"/>
        </a:xfrm>
        <a:prstGeom prst="roundRect">
          <a:avLst/>
        </a:prstGeom>
        <a:solidFill>
          <a:srgbClr val="1465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114301</xdr:colOff>
      <xdr:row>19</xdr:row>
      <xdr:rowOff>57150</xdr:rowOff>
    </xdr:from>
    <xdr:to>
      <xdr:col>3</xdr:col>
      <xdr:colOff>1</xdr:colOff>
      <xdr:row>21</xdr:row>
      <xdr:rowOff>66675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4301" y="3676650"/>
          <a:ext cx="2171700" cy="390525"/>
        </a:xfrm>
        <a:prstGeom prst="roundRect">
          <a:avLst/>
        </a:prstGeom>
        <a:solidFill>
          <a:srgbClr val="1465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4</xdr:row>
      <xdr:rowOff>180975</xdr:rowOff>
    </xdr:from>
    <xdr:to>
      <xdr:col>2</xdr:col>
      <xdr:colOff>390525</xdr:colOff>
      <xdr:row>6</xdr:row>
      <xdr:rowOff>114301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485775" y="942975"/>
          <a:ext cx="142875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Tableau de bord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7</xdr:row>
      <xdr:rowOff>180975</xdr:rowOff>
    </xdr:from>
    <xdr:to>
      <xdr:col>2</xdr:col>
      <xdr:colOff>390525</xdr:colOff>
      <xdr:row>9</xdr:row>
      <xdr:rowOff>114301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85775" y="1514475"/>
          <a:ext cx="142875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Importation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10</xdr:row>
      <xdr:rowOff>180975</xdr:rowOff>
    </xdr:from>
    <xdr:to>
      <xdr:col>2</xdr:col>
      <xdr:colOff>390525</xdr:colOff>
      <xdr:row>12</xdr:row>
      <xdr:rowOff>114301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485775" y="2085975"/>
          <a:ext cx="142875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Affectation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13</xdr:row>
      <xdr:rowOff>114300</xdr:rowOff>
    </xdr:from>
    <xdr:to>
      <xdr:col>2</xdr:col>
      <xdr:colOff>390525</xdr:colOff>
      <xdr:row>15</xdr:row>
      <xdr:rowOff>47626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85775" y="2590800"/>
          <a:ext cx="142875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Agents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16</xdr:row>
      <xdr:rowOff>133350</xdr:rowOff>
    </xdr:from>
    <xdr:to>
      <xdr:col>2</xdr:col>
      <xdr:colOff>390525</xdr:colOff>
      <xdr:row>18</xdr:row>
      <xdr:rowOff>66676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85775" y="3181350"/>
          <a:ext cx="142875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Traitement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19</xdr:row>
      <xdr:rowOff>114300</xdr:rowOff>
    </xdr:from>
    <xdr:to>
      <xdr:col>2</xdr:col>
      <xdr:colOff>390525</xdr:colOff>
      <xdr:row>21</xdr:row>
      <xdr:rowOff>47626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85775" y="3733800"/>
          <a:ext cx="142875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Consolidation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152401</xdr:colOff>
      <xdr:row>5</xdr:row>
      <xdr:rowOff>38101</xdr:rowOff>
    </xdr:from>
    <xdr:to>
      <xdr:col>0</xdr:col>
      <xdr:colOff>391298</xdr:colOff>
      <xdr:row>6</xdr:row>
      <xdr:rowOff>86498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 bright="70000" contrast="-70000"/>
        </a:blip>
        <a:stretch>
          <a:fillRect/>
        </a:stretch>
      </xdr:blipFill>
      <xdr:spPr>
        <a:xfrm>
          <a:off x="152401" y="990601"/>
          <a:ext cx="238897" cy="238897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152401</xdr:colOff>
      <xdr:row>8</xdr:row>
      <xdr:rowOff>9525</xdr:rowOff>
    </xdr:from>
    <xdr:to>
      <xdr:col>0</xdr:col>
      <xdr:colOff>428626</xdr:colOff>
      <xdr:row>9</xdr:row>
      <xdr:rowOff>95250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 bright="70000" contrast="-70000"/>
        </a:blip>
        <a:stretch>
          <a:fillRect/>
        </a:stretch>
      </xdr:blipFill>
      <xdr:spPr>
        <a:xfrm>
          <a:off x="152401" y="1533525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152401</xdr:colOff>
      <xdr:row>10</xdr:row>
      <xdr:rowOff>171451</xdr:rowOff>
    </xdr:from>
    <xdr:to>
      <xdr:col>0</xdr:col>
      <xdr:colOff>443557</xdr:colOff>
      <xdr:row>12</xdr:row>
      <xdr:rowOff>81607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 bright="70000" contrast="-70000"/>
        </a:blip>
        <a:stretch>
          <a:fillRect/>
        </a:stretch>
      </xdr:blipFill>
      <xdr:spPr>
        <a:xfrm>
          <a:off x="152401" y="2076451"/>
          <a:ext cx="291156" cy="29115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152401</xdr:colOff>
      <xdr:row>13</xdr:row>
      <xdr:rowOff>142875</xdr:rowOff>
    </xdr:from>
    <xdr:to>
      <xdr:col>0</xdr:col>
      <xdr:colOff>428626</xdr:colOff>
      <xdr:row>15</xdr:row>
      <xdr:rowOff>38100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 bright="70000" contrast="-70000"/>
        </a:blip>
        <a:stretch>
          <a:fillRect/>
        </a:stretch>
      </xdr:blipFill>
      <xdr:spPr>
        <a:xfrm>
          <a:off x="152401" y="2619375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152401</xdr:colOff>
      <xdr:row>16</xdr:row>
      <xdr:rowOff>123825</xdr:rowOff>
    </xdr:from>
    <xdr:to>
      <xdr:col>0</xdr:col>
      <xdr:colOff>451023</xdr:colOff>
      <xdr:row>18</xdr:row>
      <xdr:rowOff>41447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lum bright="70000" contrast="-70000"/>
        </a:blip>
        <a:stretch>
          <a:fillRect/>
        </a:stretch>
      </xdr:blipFill>
      <xdr:spPr>
        <a:xfrm>
          <a:off x="152401" y="3171825"/>
          <a:ext cx="298622" cy="298622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152401</xdr:colOff>
      <xdr:row>19</xdr:row>
      <xdr:rowOff>95250</xdr:rowOff>
    </xdr:from>
    <xdr:to>
      <xdr:col>0</xdr:col>
      <xdr:colOff>428626</xdr:colOff>
      <xdr:row>20</xdr:row>
      <xdr:rowOff>180975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lum bright="70000" contrast="-70000"/>
        </a:blip>
        <a:stretch>
          <a:fillRect/>
        </a:stretch>
      </xdr:blipFill>
      <xdr:spPr>
        <a:xfrm>
          <a:off x="152401" y="3714750"/>
          <a:ext cx="276225" cy="276225"/>
        </a:xfrm>
        <a:prstGeom prst="rect">
          <a:avLst/>
        </a:prstGeom>
      </xdr:spPr>
    </xdr:pic>
    <xdr:clientData/>
  </xdr:twoCellAnchor>
  <xdr:twoCellAnchor>
    <xdr:from>
      <xdr:col>6</xdr:col>
      <xdr:colOff>495300</xdr:colOff>
      <xdr:row>4</xdr:row>
      <xdr:rowOff>19050</xdr:rowOff>
    </xdr:from>
    <xdr:to>
      <xdr:col>9</xdr:col>
      <xdr:colOff>409575</xdr:colOff>
      <xdr:row>12</xdr:row>
      <xdr:rowOff>38100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5067300" y="781050"/>
          <a:ext cx="2200275" cy="1543050"/>
          <a:chOff x="5267325" y="809625"/>
          <a:chExt cx="2200275" cy="1543050"/>
        </a:xfrm>
        <a:effectLst/>
      </xdr:grpSpPr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962649" y="876301"/>
            <a:ext cx="1504951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400" b="0">
                <a:solidFill>
                  <a:sysClr val="windowText" lastClr="000000"/>
                </a:solidFill>
              </a:rPr>
              <a:t>Ligne</a:t>
            </a:r>
            <a:r>
              <a:rPr lang="fr-FR" sz="1400" b="0" baseline="0">
                <a:solidFill>
                  <a:sysClr val="windowText" lastClr="000000"/>
                </a:solidFill>
              </a:rPr>
              <a:t> à AFFECTER</a:t>
            </a:r>
            <a:endParaRPr lang="fr-FR" sz="2000" b="0">
              <a:solidFill>
                <a:sysClr val="windowText" lastClr="000000"/>
              </a:solidFill>
            </a:endParaRPr>
          </a:p>
        </xdr:txBody>
      </xdr:sp>
      <xdr:sp macro="" textlink="Feuil1!D3">
        <xdr:nvSpPr>
          <xdr:cNvPr id="33" name="ZoneText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6010273" y="1047752"/>
            <a:ext cx="1009651" cy="55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11AE0326-60A8-45D3-B299-A834592918EB}" type="TxLink">
              <a:rPr lang="en-US" sz="36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3</a:t>
            </a:fld>
            <a:endParaRPr lang="fr-FR" sz="19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5943599" y="1533526"/>
            <a:ext cx="137160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>
                <a:solidFill>
                  <a:srgbClr val="54648B"/>
                </a:solidFill>
              </a:rPr>
              <a:t>Ligne en attente</a:t>
            </a:r>
            <a:endParaRPr lang="fr-FR" sz="1050">
              <a:solidFill>
                <a:srgbClr val="54648B"/>
              </a:solidFill>
            </a:endParaRPr>
          </a:p>
        </xdr:txBody>
      </xdr:sp>
      <xdr:sp macro="" textlink="">
        <xdr:nvSpPr>
          <xdr:cNvPr id="31" name="Rectangle : coins arrondis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5267325" y="809625"/>
            <a:ext cx="2181225" cy="1543050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37" name="Connecteur droit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CxnSpPr/>
        </xdr:nvCxnSpPr>
        <xdr:spPr>
          <a:xfrm flipV="1">
            <a:off x="5276850" y="1905000"/>
            <a:ext cx="2171700" cy="1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486401" y="1952626"/>
            <a:ext cx="1828800" cy="3238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wrap="square" rtlCol="0" anchor="t"/>
          <a:lstStyle/>
          <a:p>
            <a:r>
              <a:rPr lang="fr-FR" sz="1400">
                <a:solidFill>
                  <a:schemeClr val="accent2"/>
                </a:solidFill>
              </a:rPr>
              <a:t>A traiter par les agents</a:t>
            </a:r>
            <a:endParaRPr lang="fr-FR" sz="1100">
              <a:solidFill>
                <a:schemeClr val="accent2"/>
              </a:solidFill>
            </a:endParaRPr>
          </a:p>
        </xdr:txBody>
      </xdr:sp>
    </xdr:grpSp>
    <xdr:clientData/>
  </xdr:twoCellAnchor>
  <xdr:twoCellAnchor>
    <xdr:from>
      <xdr:col>3</xdr:col>
      <xdr:colOff>361950</xdr:colOff>
      <xdr:row>4</xdr:row>
      <xdr:rowOff>28575</xdr:rowOff>
    </xdr:from>
    <xdr:to>
      <xdr:col>6</xdr:col>
      <xdr:colOff>276225</xdr:colOff>
      <xdr:row>12</xdr:row>
      <xdr:rowOff>47625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647950" y="790575"/>
          <a:ext cx="2200275" cy="1543050"/>
          <a:chOff x="5267325" y="809625"/>
          <a:chExt cx="2200275" cy="1543050"/>
        </a:xfrm>
        <a:effectLst/>
      </xdr:grpSpPr>
      <xdr:sp macro="" textlink="">
        <xdr:nvSpPr>
          <xdr:cNvPr id="42" name="ZoneTexte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5962649" y="876301"/>
            <a:ext cx="1504951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400" b="0">
                <a:solidFill>
                  <a:sysClr val="windowText" lastClr="000000"/>
                </a:solidFill>
              </a:rPr>
              <a:t>Fichiers Importés</a:t>
            </a:r>
            <a:endParaRPr lang="fr-FR" sz="2000" b="0">
              <a:solidFill>
                <a:sysClr val="windowText" lastClr="000000"/>
              </a:solidFill>
            </a:endParaRPr>
          </a:p>
        </xdr:txBody>
      </xdr:sp>
      <xdr:sp macro="" textlink="#REF!">
        <xdr:nvSpPr>
          <xdr:cNvPr id="43" name="ZoneText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6010273" y="1047752"/>
            <a:ext cx="1009651" cy="55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642666-41C4-4290-ADF4-6CD8640F124D}" type="TxLink">
              <a:rPr lang="en-US" sz="36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</a:t>
            </a:fld>
            <a:endParaRPr lang="fr-FR" sz="19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 txBox="1"/>
        </xdr:nvSpPr>
        <xdr:spPr>
          <a:xfrm>
            <a:off x="5943599" y="1533526"/>
            <a:ext cx="142875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>
                <a:solidFill>
                  <a:srgbClr val="54648B"/>
                </a:solidFill>
              </a:rPr>
              <a:t>importation réussie</a:t>
            </a:r>
            <a:endParaRPr lang="fr-FR" sz="1050">
              <a:solidFill>
                <a:srgbClr val="54648B"/>
              </a:solidFill>
            </a:endParaRPr>
          </a:p>
        </xdr:txBody>
      </xdr:sp>
      <xdr:sp macro="" textlink="">
        <xdr:nvSpPr>
          <xdr:cNvPr id="45" name="Rectangle : coins arrondi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5267325" y="809625"/>
            <a:ext cx="2181225" cy="1543050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CxnSpPr/>
        </xdr:nvCxnSpPr>
        <xdr:spPr>
          <a:xfrm flipV="1">
            <a:off x="5276850" y="1905000"/>
            <a:ext cx="2171700" cy="1"/>
          </a:xfrm>
          <a:prstGeom prst="line">
            <a:avLst/>
          </a:prstGeom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 txBox="1"/>
        </xdr:nvSpPr>
        <xdr:spPr>
          <a:xfrm>
            <a:off x="5686426" y="1962151"/>
            <a:ext cx="1504949" cy="3238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wrap="square" rtlCol="0" anchor="t"/>
          <a:lstStyle/>
          <a:p>
            <a:r>
              <a:rPr lang="fr-FR" sz="1400">
                <a:solidFill>
                  <a:schemeClr val="accent6"/>
                </a:solidFill>
              </a:rPr>
              <a:t>Total</a:t>
            </a:r>
            <a:r>
              <a:rPr lang="fr-FR" sz="1400" baseline="0">
                <a:solidFill>
                  <a:schemeClr val="accent6"/>
                </a:solidFill>
              </a:rPr>
              <a:t> des dossiers</a:t>
            </a:r>
            <a:endParaRPr lang="fr-FR" sz="11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9</xdr:col>
      <xdr:colOff>628650</xdr:colOff>
      <xdr:row>4</xdr:row>
      <xdr:rowOff>19050</xdr:rowOff>
    </xdr:from>
    <xdr:to>
      <xdr:col>12</xdr:col>
      <xdr:colOff>542925</xdr:colOff>
      <xdr:row>12</xdr:row>
      <xdr:rowOff>38100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/>
      </xdr:nvGrpSpPr>
      <xdr:grpSpPr>
        <a:xfrm>
          <a:off x="7486650" y="781050"/>
          <a:ext cx="2200275" cy="1543050"/>
          <a:chOff x="5267325" y="809625"/>
          <a:chExt cx="2200275" cy="1543050"/>
        </a:xfrm>
        <a:effectLst/>
      </xdr:grpSpPr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5962649" y="876301"/>
            <a:ext cx="1504951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400" b="0">
                <a:solidFill>
                  <a:sysClr val="windowText" lastClr="000000"/>
                </a:solidFill>
              </a:rPr>
              <a:t>Ligne</a:t>
            </a:r>
            <a:r>
              <a:rPr lang="fr-FR" sz="1400" b="0" baseline="0">
                <a:solidFill>
                  <a:sysClr val="windowText" lastClr="000000"/>
                </a:solidFill>
              </a:rPr>
              <a:t> Traitées</a:t>
            </a:r>
            <a:endParaRPr lang="fr-FR" sz="2000" b="0">
              <a:solidFill>
                <a:sysClr val="windowText" lastClr="000000"/>
              </a:solidFill>
            </a:endParaRPr>
          </a:p>
        </xdr:txBody>
      </xdr:sp>
      <xdr:sp macro="" textlink="Feuil1!I3">
        <xdr:nvSpPr>
          <xdr:cNvPr id="50" name="ZoneTexte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 txBox="1"/>
        </xdr:nvSpPr>
        <xdr:spPr>
          <a:xfrm>
            <a:off x="6010273" y="1047752"/>
            <a:ext cx="1009651" cy="55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04D945C-688F-47EC-91E1-395315EC4FC5}" type="TxLink">
              <a:rPr lang="en-US" sz="36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137</a:t>
            </a:fld>
            <a:endParaRPr lang="fr-FR" sz="102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 txBox="1"/>
        </xdr:nvSpPr>
        <xdr:spPr>
          <a:xfrm>
            <a:off x="5943599" y="1533526"/>
            <a:ext cx="137160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>
                <a:solidFill>
                  <a:srgbClr val="54648B"/>
                </a:solidFill>
              </a:rPr>
              <a:t>Ligne en attente</a:t>
            </a:r>
            <a:endParaRPr lang="fr-FR" sz="1050">
              <a:solidFill>
                <a:srgbClr val="54648B"/>
              </a:solidFill>
            </a:endParaRPr>
          </a:p>
        </xdr:txBody>
      </xdr:sp>
      <xdr:sp macro="" textlink="">
        <xdr:nvSpPr>
          <xdr:cNvPr id="52" name="Rectangle : coins arrondis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5267325" y="809625"/>
            <a:ext cx="2181225" cy="1543050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CxnSpPr/>
        </xdr:nvCxnSpPr>
        <xdr:spPr>
          <a:xfrm flipV="1">
            <a:off x="5276850" y="1905000"/>
            <a:ext cx="2171700" cy="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 txBox="1"/>
        </xdr:nvSpPr>
        <xdr:spPr>
          <a:xfrm>
            <a:off x="5876926" y="1952626"/>
            <a:ext cx="1171574" cy="3238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wrap="square" rtlCol="0" anchor="t"/>
          <a:lstStyle/>
          <a:p>
            <a:r>
              <a:rPr lang="fr-FR" sz="1400">
                <a:solidFill>
                  <a:schemeClr val="accent1"/>
                </a:solidFill>
              </a:rPr>
              <a:t>Total cumulé</a:t>
            </a:r>
            <a:endParaRPr lang="fr-FR" sz="1100"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13</xdr:col>
      <xdr:colOff>9525</xdr:colOff>
      <xdr:row>3</xdr:row>
      <xdr:rowOff>171450</xdr:rowOff>
    </xdr:from>
    <xdr:to>
      <xdr:col>15</xdr:col>
      <xdr:colOff>685800</xdr:colOff>
      <xdr:row>12</xdr:row>
      <xdr:rowOff>0</xdr:rowOff>
    </xdr:to>
    <xdr:grpSp>
      <xdr:nvGrpSpPr>
        <xdr:cNvPr id="55" name="Group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pSpPr/>
      </xdr:nvGrpSpPr>
      <xdr:grpSpPr>
        <a:xfrm>
          <a:off x="9915525" y="742950"/>
          <a:ext cx="2200275" cy="1543050"/>
          <a:chOff x="5267325" y="809625"/>
          <a:chExt cx="2200275" cy="1543050"/>
        </a:xfrm>
        <a:effectLst/>
      </xdr:grpSpPr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 txBox="1"/>
        </xdr:nvSpPr>
        <xdr:spPr>
          <a:xfrm>
            <a:off x="5962649" y="876301"/>
            <a:ext cx="1504951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400" b="0">
                <a:solidFill>
                  <a:sysClr val="windowText" lastClr="000000"/>
                </a:solidFill>
              </a:rPr>
              <a:t>Nombre d'Agents</a:t>
            </a:r>
            <a:endParaRPr lang="fr-FR" sz="2000" b="0">
              <a:solidFill>
                <a:sysClr val="windowText" lastClr="000000"/>
              </a:solidFill>
            </a:endParaRPr>
          </a:p>
        </xdr:txBody>
      </xdr:sp>
      <xdr:sp macro="" textlink="Feuil1!N3">
        <xdr:nvSpPr>
          <xdr:cNvPr id="57" name="ZoneText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 txBox="1"/>
        </xdr:nvSpPr>
        <xdr:spPr>
          <a:xfrm>
            <a:off x="6010273" y="1047752"/>
            <a:ext cx="1009651" cy="55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F70CAE0-CBE6-4297-901D-D424A0B9C492}" type="TxLink">
              <a:rPr lang="en-US" sz="36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11</a:t>
            </a:fld>
            <a:endParaRPr lang="fr-FR" sz="400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8" name="ZoneText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 txBox="1"/>
        </xdr:nvSpPr>
        <xdr:spPr>
          <a:xfrm>
            <a:off x="5943599" y="1533526"/>
            <a:ext cx="137160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>
                <a:solidFill>
                  <a:srgbClr val="54648B"/>
                </a:solidFill>
              </a:rPr>
              <a:t>Agents actif</a:t>
            </a:r>
            <a:endParaRPr lang="fr-FR" sz="1050">
              <a:solidFill>
                <a:srgbClr val="54648B"/>
              </a:solidFill>
            </a:endParaRPr>
          </a:p>
        </xdr:txBody>
      </xdr:sp>
      <xdr:sp macro="" textlink="">
        <xdr:nvSpPr>
          <xdr:cNvPr id="59" name="Rectangle : coins arrondis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5267325" y="809625"/>
            <a:ext cx="2181225" cy="1543050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60" name="Connecteur droit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CxnSpPr/>
        </xdr:nvCxnSpPr>
        <xdr:spPr>
          <a:xfrm flipV="1">
            <a:off x="5276850" y="1905000"/>
            <a:ext cx="2171700" cy="1"/>
          </a:xfrm>
          <a:prstGeom prst="line">
            <a:avLst/>
          </a:prstGeom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ZoneText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 txBox="1"/>
        </xdr:nvSpPr>
        <xdr:spPr>
          <a:xfrm>
            <a:off x="6057901" y="1952626"/>
            <a:ext cx="695324" cy="3238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wrap="square" rtlCol="0" anchor="t"/>
          <a:lstStyle/>
          <a:p>
            <a:r>
              <a:rPr lang="fr-FR" sz="1400">
                <a:solidFill>
                  <a:srgbClr val="7030A0"/>
                </a:solidFill>
              </a:rPr>
              <a:t>Agents</a:t>
            </a:r>
            <a:endParaRPr lang="fr-FR" sz="1100">
              <a:solidFill>
                <a:srgbClr val="7030A0"/>
              </a:solidFill>
            </a:endParaRPr>
          </a:p>
        </xdr:txBody>
      </xdr:sp>
    </xdr:grpSp>
    <xdr:clientData/>
  </xdr:twoCellAnchor>
  <xdr:twoCellAnchor>
    <xdr:from>
      <xdr:col>19</xdr:col>
      <xdr:colOff>600075</xdr:colOff>
      <xdr:row>0</xdr:row>
      <xdr:rowOff>76200</xdr:rowOff>
    </xdr:from>
    <xdr:to>
      <xdr:col>23</xdr:col>
      <xdr:colOff>180975</xdr:colOff>
      <xdr:row>3</xdr:row>
      <xdr:rowOff>66675</xdr:rowOff>
    </xdr:to>
    <xdr:grpSp>
      <xdr:nvGrpSpPr>
        <xdr:cNvPr id="71" name="Group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pSpPr/>
      </xdr:nvGrpSpPr>
      <xdr:grpSpPr>
        <a:xfrm>
          <a:off x="15078075" y="76200"/>
          <a:ext cx="2628900" cy="561975"/>
          <a:chOff x="8629650" y="2771775"/>
          <a:chExt cx="2628900" cy="561975"/>
        </a:xfrm>
      </xdr:grpSpPr>
      <xdr:sp macro="" textlink="">
        <xdr:nvSpPr>
          <xdr:cNvPr id="66" name="Rectangle : coins arrondis 65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8629650" y="2809875"/>
            <a:ext cx="2600325" cy="523875"/>
          </a:xfrm>
          <a:prstGeom prst="roundRect">
            <a:avLst/>
          </a:prstGeom>
          <a:noFill/>
          <a:ln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9601200" y="2771775"/>
            <a:ext cx="1657350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0">
                <a:solidFill>
                  <a:sysClr val="windowText" lastClr="000000"/>
                </a:solidFill>
              </a:rPr>
              <a:t>Administrateur</a:t>
            </a:r>
            <a:endParaRPr lang="fr-FR" sz="2800" b="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590550</xdr:colOff>
      <xdr:row>4</xdr:row>
      <xdr:rowOff>133349</xdr:rowOff>
    </xdr:from>
    <xdr:to>
      <xdr:col>7</xdr:col>
      <xdr:colOff>438151</xdr:colOff>
      <xdr:row>7</xdr:row>
      <xdr:rowOff>171450</xdr:rowOff>
    </xdr:to>
    <xdr:pic>
      <xdr:nvPicPr>
        <xdr:cNvPr id="73" name="Imag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62550" y="895349"/>
          <a:ext cx="609601" cy="609601"/>
        </a:xfrm>
        <a:prstGeom prst="rect">
          <a:avLst/>
        </a:prstGeom>
      </xdr:spPr>
    </xdr:pic>
    <xdr:clientData/>
  </xdr:twoCellAnchor>
  <xdr:twoCellAnchor editAs="oneCell">
    <xdr:from>
      <xdr:col>3</xdr:col>
      <xdr:colOff>504825</xdr:colOff>
      <xdr:row>5</xdr:row>
      <xdr:rowOff>66674</xdr:rowOff>
    </xdr:from>
    <xdr:to>
      <xdr:col>4</xdr:col>
      <xdr:colOff>228600</xdr:colOff>
      <xdr:row>7</xdr:row>
      <xdr:rowOff>171449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90825" y="1019174"/>
          <a:ext cx="485775" cy="485775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</xdr:colOff>
      <xdr:row>4</xdr:row>
      <xdr:rowOff>133350</xdr:rowOff>
    </xdr:from>
    <xdr:to>
      <xdr:col>14</xdr:col>
      <xdr:colOff>19050</xdr:colOff>
      <xdr:row>8</xdr:row>
      <xdr:rowOff>142875</xdr:rowOff>
    </xdr:to>
    <xdr:pic>
      <xdr:nvPicPr>
        <xdr:cNvPr id="76" name="Imag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prstClr val="black"/>
            <a:srgbClr val="7030A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915525" y="895350"/>
          <a:ext cx="771525" cy="771525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714376</xdr:colOff>
      <xdr:row>5</xdr:row>
      <xdr:rowOff>19051</xdr:rowOff>
    </xdr:from>
    <xdr:to>
      <xdr:col>10</xdr:col>
      <xdr:colOff>542926</xdr:colOff>
      <xdr:row>8</xdr:row>
      <xdr:rowOff>38101</xdr:rowOff>
    </xdr:to>
    <xdr:pic>
      <xdr:nvPicPr>
        <xdr:cNvPr id="77" name="Imag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572376" y="971551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19</xdr:col>
      <xdr:colOff>657225</xdr:colOff>
      <xdr:row>0</xdr:row>
      <xdr:rowOff>123825</xdr:rowOff>
    </xdr:from>
    <xdr:to>
      <xdr:col>20</xdr:col>
      <xdr:colOff>428625</xdr:colOff>
      <xdr:row>3</xdr:row>
      <xdr:rowOff>85725</xdr:rowOff>
    </xdr:to>
    <xdr:pic>
      <xdr:nvPicPr>
        <xdr:cNvPr id="78" name="Image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135225" y="123825"/>
          <a:ext cx="533400" cy="533400"/>
        </a:xfrm>
        <a:prstGeom prst="rect">
          <a:avLst/>
        </a:prstGeom>
      </xdr:spPr>
    </xdr:pic>
    <xdr:clientData/>
  </xdr:twoCellAnchor>
  <xdr:twoCellAnchor>
    <xdr:from>
      <xdr:col>0</xdr:col>
      <xdr:colOff>95251</xdr:colOff>
      <xdr:row>21</xdr:row>
      <xdr:rowOff>180975</xdr:rowOff>
    </xdr:from>
    <xdr:to>
      <xdr:col>2</xdr:col>
      <xdr:colOff>742951</xdr:colOff>
      <xdr:row>24</xdr:row>
      <xdr:rowOff>0</xdr:rowOff>
    </xdr:to>
    <xdr:grpSp>
      <xdr:nvGrpSpPr>
        <xdr:cNvPr id="90" name="Groupe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pSpPr/>
      </xdr:nvGrpSpPr>
      <xdr:grpSpPr>
        <a:xfrm>
          <a:off x="95251" y="4181475"/>
          <a:ext cx="2171700" cy="390525"/>
          <a:chOff x="95251" y="4181475"/>
          <a:chExt cx="2171700" cy="390525"/>
        </a:xfrm>
      </xdr:grpSpPr>
      <xdr:sp macro="[0]!refresh" textlink="">
        <xdr:nvSpPr>
          <xdr:cNvPr id="88" name="Rectangle : coins arrondis 87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/>
        </xdr:nvSpPr>
        <xdr:spPr>
          <a:xfrm>
            <a:off x="95251" y="4181475"/>
            <a:ext cx="2171700" cy="390525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refresh" textlink="">
        <xdr:nvSpPr>
          <xdr:cNvPr id="89" name="ZoneTexte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SpPr txBox="1"/>
        </xdr:nvSpPr>
        <xdr:spPr>
          <a:xfrm>
            <a:off x="666750" y="4191000"/>
            <a:ext cx="952500" cy="314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800" b="1">
                <a:solidFill>
                  <a:schemeClr val="bg1"/>
                </a:solidFill>
              </a:rPr>
              <a:t>Refresh</a:t>
            </a:r>
            <a:endParaRPr lang="fr-FR" sz="105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47625</xdr:colOff>
      <xdr:row>24</xdr:row>
      <xdr:rowOff>38100</xdr:rowOff>
    </xdr:from>
    <xdr:to>
      <xdr:col>1</xdr:col>
      <xdr:colOff>200025</xdr:colOff>
      <xdr:row>25</xdr:row>
      <xdr:rowOff>161926</xdr:rowOff>
    </xdr:to>
    <xdr:sp macro="" textlink="">
      <xdr:nvSpPr>
        <xdr:cNvPr id="130" name="ZoneTexte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 txBox="1"/>
      </xdr:nvSpPr>
      <xdr:spPr>
        <a:xfrm>
          <a:off x="47625" y="4610100"/>
          <a:ext cx="914400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</a:rPr>
            <a:t>Raccoucis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142875</xdr:colOff>
      <xdr:row>25</xdr:row>
      <xdr:rowOff>16669</xdr:rowOff>
    </xdr:from>
    <xdr:to>
      <xdr:col>3</xdr:col>
      <xdr:colOff>45244</xdr:colOff>
      <xdr:row>25</xdr:row>
      <xdr:rowOff>16670</xdr:rowOff>
    </xdr:to>
    <xdr:cxnSp macro="">
      <xdr:nvCxnSpPr>
        <xdr:cNvPr id="131" name="Connecteur droi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CxnSpPr/>
      </xdr:nvCxnSpPr>
      <xdr:spPr>
        <a:xfrm flipV="1">
          <a:off x="904875" y="4779169"/>
          <a:ext cx="1426369" cy="1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85725</xdr:colOff>
      <xdr:row>25</xdr:row>
      <xdr:rowOff>171450</xdr:rowOff>
    </xdr:from>
    <xdr:to>
      <xdr:col>3</xdr:col>
      <xdr:colOff>57149</xdr:colOff>
      <xdr:row>27</xdr:row>
      <xdr:rowOff>180975</xdr:rowOff>
    </xdr:to>
    <xdr:grpSp>
      <xdr:nvGrpSpPr>
        <xdr:cNvPr id="142" name="Groupe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GrpSpPr/>
      </xdr:nvGrpSpPr>
      <xdr:grpSpPr>
        <a:xfrm>
          <a:off x="85725" y="4933950"/>
          <a:ext cx="2257424" cy="390525"/>
          <a:chOff x="85725" y="4933950"/>
          <a:chExt cx="2257424" cy="390525"/>
        </a:xfrm>
      </xdr:grpSpPr>
      <xdr:sp macro="[0]!from" textlink="">
        <xdr:nvSpPr>
          <xdr:cNvPr id="129" name="Rectangle : coins arrondis 128">
            <a:extLst>
              <a:ext uri="{FF2B5EF4-FFF2-40B4-BE49-F238E27FC236}">
                <a16:creationId xmlns:a16="http://schemas.microsoft.com/office/drawing/2014/main" id="{00000000-0008-0000-0100-000081000000}"/>
              </a:ext>
            </a:extLst>
          </xdr:cNvPr>
          <xdr:cNvSpPr/>
        </xdr:nvSpPr>
        <xdr:spPr>
          <a:xfrm>
            <a:off x="95251" y="4933950"/>
            <a:ext cx="2171700" cy="390525"/>
          </a:xfrm>
          <a:prstGeom prst="roundRect">
            <a:avLst/>
          </a:prstGeom>
          <a:solidFill>
            <a:srgbClr val="1465E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rom" textlink="">
        <xdr:nvSpPr>
          <xdr:cNvPr id="141" name="ZoneTexte 140">
            <a:extLst>
              <a:ext uri="{FF2B5EF4-FFF2-40B4-BE49-F238E27FC236}">
                <a16:creationId xmlns:a16="http://schemas.microsoft.com/office/drawing/2014/main" id="{00000000-0008-0000-0100-00008D000000}"/>
              </a:ext>
            </a:extLst>
          </xdr:cNvPr>
          <xdr:cNvSpPr txBox="1"/>
        </xdr:nvSpPr>
        <xdr:spPr>
          <a:xfrm>
            <a:off x="85725" y="4972050"/>
            <a:ext cx="2257424" cy="314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400" b="1">
                <a:solidFill>
                  <a:schemeClr val="bg1"/>
                </a:solidFill>
              </a:rPr>
              <a:t>Gestionnaire de</a:t>
            </a:r>
            <a:r>
              <a:rPr lang="fr-FR" sz="1400" b="1" baseline="0">
                <a:solidFill>
                  <a:schemeClr val="bg1"/>
                </a:solidFill>
              </a:rPr>
              <a:t> </a:t>
            </a:r>
            <a:r>
              <a:rPr lang="fr-FR" sz="1400" b="1">
                <a:solidFill>
                  <a:schemeClr val="bg1"/>
                </a:solidFill>
              </a:rPr>
              <a:t>MANAGER</a:t>
            </a:r>
            <a:endParaRPr lang="fr-FR" sz="9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95251</xdr:colOff>
      <xdr:row>28</xdr:row>
      <xdr:rowOff>95250</xdr:rowOff>
    </xdr:from>
    <xdr:to>
      <xdr:col>3</xdr:col>
      <xdr:colOff>123825</xdr:colOff>
      <xdr:row>30</xdr:row>
      <xdr:rowOff>104775</xdr:rowOff>
    </xdr:to>
    <xdr:grpSp>
      <xdr:nvGrpSpPr>
        <xdr:cNvPr id="143" name="Groupe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GrpSpPr/>
      </xdr:nvGrpSpPr>
      <xdr:grpSpPr>
        <a:xfrm>
          <a:off x="95251" y="5429250"/>
          <a:ext cx="2314574" cy="390525"/>
          <a:chOff x="95251" y="4933950"/>
          <a:chExt cx="2314574" cy="390525"/>
        </a:xfrm>
      </xdr:grpSpPr>
      <xdr:sp macro="" textlink="">
        <xdr:nvSpPr>
          <xdr:cNvPr id="144" name="Rectangle : coins arrondis 143">
            <a:extLst>
              <a:ext uri="{FF2B5EF4-FFF2-40B4-BE49-F238E27FC236}">
                <a16:creationId xmlns:a16="http://schemas.microsoft.com/office/drawing/2014/main" id="{00000000-0008-0000-0100-000090000000}"/>
              </a:ext>
            </a:extLst>
          </xdr:cNvPr>
          <xdr:cNvSpPr/>
        </xdr:nvSpPr>
        <xdr:spPr>
          <a:xfrm>
            <a:off x="95251" y="4933950"/>
            <a:ext cx="2171700" cy="390525"/>
          </a:xfrm>
          <a:prstGeom prst="roundRect">
            <a:avLst/>
          </a:prstGeom>
          <a:solidFill>
            <a:srgbClr val="1465E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5" name="ZoneTexte 144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SpPr txBox="1"/>
        </xdr:nvSpPr>
        <xdr:spPr>
          <a:xfrm>
            <a:off x="190500" y="4962525"/>
            <a:ext cx="2219325" cy="314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400" b="1">
                <a:solidFill>
                  <a:schemeClr val="bg1"/>
                </a:solidFill>
              </a:rPr>
              <a:t>Gestionnaire des Agents</a:t>
            </a:r>
            <a:endParaRPr lang="fr-FR" sz="900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</xdr:row>
          <xdr:rowOff>9525</xdr:rowOff>
        </xdr:from>
        <xdr:to>
          <xdr:col>23</xdr:col>
          <xdr:colOff>104775</xdr:colOff>
          <xdr:row>3</xdr:row>
          <xdr:rowOff>66675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13</xdr:row>
      <xdr:rowOff>95250</xdr:rowOff>
    </xdr:from>
    <xdr:to>
      <xdr:col>14</xdr:col>
      <xdr:colOff>314325</xdr:colOff>
      <xdr:row>24</xdr:row>
      <xdr:rowOff>171451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657475" y="2571750"/>
          <a:ext cx="8324850" cy="2171701"/>
          <a:chOff x="2657475" y="2571750"/>
          <a:chExt cx="8324850" cy="2171701"/>
        </a:xfrm>
      </xdr:grpSpPr>
      <xdr:sp macro="" textlink="">
        <xdr:nvSpPr>
          <xdr:cNvPr id="126" name="Rectangle : coins arrondis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SpPr/>
        </xdr:nvSpPr>
        <xdr:spPr>
          <a:xfrm>
            <a:off x="2657475" y="2571751"/>
            <a:ext cx="8324850" cy="2171700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93" name="Graphiqu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GraphicFramePr>
            <a:graphicFrameLocks/>
          </xdr:cNvGraphicFramePr>
        </xdr:nvGraphicFramePr>
        <xdr:xfrm>
          <a:off x="2714625" y="2571750"/>
          <a:ext cx="8115299" cy="2143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>
    <xdr:from>
      <xdr:col>15</xdr:col>
      <xdr:colOff>209549</xdr:colOff>
      <xdr:row>13</xdr:row>
      <xdr:rowOff>104774</xdr:rowOff>
    </xdr:from>
    <xdr:to>
      <xdr:col>20</xdr:col>
      <xdr:colOff>66675</xdr:colOff>
      <xdr:row>25</xdr:row>
      <xdr:rowOff>133350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11639549" y="2581274"/>
          <a:ext cx="3667126" cy="2314576"/>
          <a:chOff x="11639549" y="2581274"/>
          <a:chExt cx="3667126" cy="2314576"/>
        </a:xfrm>
      </xdr:grpSpPr>
      <xdr:sp macro="" textlink="">
        <xdr:nvSpPr>
          <xdr:cNvPr id="83" name="Rectangle : coins arrondis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>
            <a:off x="11677650" y="2581274"/>
            <a:ext cx="3629025" cy="2181226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95" name="Graphique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GraphicFramePr>
            <a:graphicFrameLocks/>
          </xdr:cNvGraphicFramePr>
        </xdr:nvGraphicFramePr>
        <xdr:xfrm>
          <a:off x="11639549" y="2581274"/>
          <a:ext cx="3495675" cy="23145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3</xdr:col>
      <xdr:colOff>400050</xdr:colOff>
      <xdr:row>26</xdr:row>
      <xdr:rowOff>9524</xdr:rowOff>
    </xdr:from>
    <xdr:to>
      <xdr:col>20</xdr:col>
      <xdr:colOff>200025</xdr:colOff>
      <xdr:row>35</xdr:row>
      <xdr:rowOff>47625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2686050" y="4962524"/>
          <a:ext cx="12753975" cy="1752601"/>
          <a:chOff x="2686050" y="4962524"/>
          <a:chExt cx="12753975" cy="1752601"/>
        </a:xfrm>
      </xdr:grpSpPr>
      <xdr:sp macro="" textlink="">
        <xdr:nvSpPr>
          <xdr:cNvPr id="81" name="Rectangle : coins arrondis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>
            <a:off x="2686050" y="4962524"/>
            <a:ext cx="12753975" cy="1714501"/>
          </a:xfrm>
          <a:prstGeom prst="roundRect">
            <a:avLst/>
          </a:prstGeom>
          <a:noFill/>
          <a:ln>
            <a:solidFill>
              <a:schemeClr val="accent3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96" name="Graphique 95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GraphicFramePr>
            <a:graphicFrameLocks/>
          </xdr:cNvGraphicFramePr>
        </xdr:nvGraphicFramePr>
        <xdr:xfrm>
          <a:off x="2714625" y="5029200"/>
          <a:ext cx="12696825" cy="1685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 editAs="oneCell">
    <xdr:from>
      <xdr:col>20</xdr:col>
      <xdr:colOff>667870</xdr:colOff>
      <xdr:row>3</xdr:row>
      <xdr:rowOff>171450</xdr:rowOff>
    </xdr:from>
    <xdr:to>
      <xdr:col>23</xdr:col>
      <xdr:colOff>210670</xdr:colOff>
      <xdr:row>8</xdr:row>
      <xdr:rowOff>158563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7" name="Type de facture">
              <a:extLst>
                <a:ext uri="{FF2B5EF4-FFF2-40B4-BE49-F238E27FC236}">
                  <a16:creationId xmlns:a16="http://schemas.microsoft.com/office/drawing/2014/main" id="{00000000-0008-0000-0100-00006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de factu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07870" y="742950"/>
              <a:ext cx="1828800" cy="9396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667870</xdr:colOff>
      <xdr:row>9</xdr:row>
      <xdr:rowOff>20170</xdr:rowOff>
    </xdr:from>
    <xdr:to>
      <xdr:col>23</xdr:col>
      <xdr:colOff>210670</xdr:colOff>
      <xdr:row>13</xdr:row>
      <xdr:rowOff>147357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8" name="CSP">
              <a:extLst>
                <a:ext uri="{FF2B5EF4-FFF2-40B4-BE49-F238E27FC236}">
                  <a16:creationId xmlns:a16="http://schemas.microsoft.com/office/drawing/2014/main" id="{00000000-0008-0000-0100-00006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S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07870" y="1734670"/>
              <a:ext cx="1828800" cy="8891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667870</xdr:colOff>
      <xdr:row>14</xdr:row>
      <xdr:rowOff>3363</xdr:rowOff>
    </xdr:from>
    <xdr:to>
      <xdr:col>23</xdr:col>
      <xdr:colOff>210670</xdr:colOff>
      <xdr:row>18</xdr:row>
      <xdr:rowOff>136153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9" name="Fichier source">
              <a:extLst>
                <a:ext uri="{FF2B5EF4-FFF2-40B4-BE49-F238E27FC236}">
                  <a16:creationId xmlns:a16="http://schemas.microsoft.com/office/drawing/2014/main" id="{00000000-0008-0000-0100-00006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chier sour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07870" y="2670363"/>
              <a:ext cx="1828800" cy="894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667870</xdr:colOff>
      <xdr:row>19</xdr:row>
      <xdr:rowOff>42582</xdr:rowOff>
    </xdr:from>
    <xdr:to>
      <xdr:col>23</xdr:col>
      <xdr:colOff>210670</xdr:colOff>
      <xdr:row>35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0" name="Agent">
              <a:extLst>
                <a:ext uri="{FF2B5EF4-FFF2-40B4-BE49-F238E27FC236}">
                  <a16:creationId xmlns:a16="http://schemas.microsoft.com/office/drawing/2014/main" id="{00000000-0008-0000-0100-00006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07870" y="3662082"/>
              <a:ext cx="1828800" cy="3053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DANI Mohamed [EIDS]" refreshedDate="46241.630367013888" createdVersion="7" refreshedVersion="7" minRefreshableVersion="3" recordCount="123" xr:uid="{7E89536A-6EB9-4889-B37D-C16E738C9FC4}">
  <cacheSource type="worksheet">
    <worksheetSource name="Tableau1"/>
  </cacheSource>
  <cacheFields count="12">
    <cacheField name="SIRET" numFmtId="1">
      <sharedItems containsString="0" containsBlank="1" containsNumber="1" containsInteger="1" minValue="30738996500038" maxValue="99317687400010"/>
    </cacheField>
    <cacheField name="Raison sociale" numFmtId="1">
      <sharedItems/>
    </cacheField>
    <cacheField name="Type de facture" numFmtId="1">
      <sharedItems count="2">
        <s v="E+R"/>
        <s v="E"/>
      </sharedItems>
    </cacheField>
    <cacheField name="Date limite de traitement" numFmtId="1">
      <sharedItems containsString="0" containsBlank="1" containsNumber="1" containsInteger="1" minValue="46241" maxValue="46241"/>
    </cacheField>
    <cacheField name="N Abonne" numFmtId="1">
      <sharedItems containsBlank="1" containsMixedTypes="1" containsNumber="1" containsInteger="1" minValue="70031504974500" maxValue="70031600298157"/>
    </cacheField>
    <cacheField name="IDT" numFmtId="1">
      <sharedItems containsString="0" containsBlank="1" containsNumber="1" containsInteger="1" minValue="227849401156" maxValue="227949401954"/>
    </cacheField>
    <cacheField name="MDP" numFmtId="1">
      <sharedItems containsBlank="1"/>
    </cacheField>
    <cacheField name="Contrat BAD" numFmtId="1">
      <sharedItems containsBlank="1"/>
    </cacheField>
    <cacheField name="CSP" numFmtId="1">
      <sharedItems containsBlank="1" count="2">
        <m/>
        <s v="OK"/>
      </sharedItems>
    </cacheField>
    <cacheField name="ID Import" numFmtId="1">
      <sharedItems/>
    </cacheField>
    <cacheField name="Fichier source" numFmtId="0">
      <sharedItems count="2">
        <s v="LOKOA éditeur Abonnés v.31.07.26 (source).xlsx"/>
        <s v="CCLS v.27.07.2026"/>
      </sharedItems>
    </cacheField>
    <cacheField name="Agent" numFmtId="1">
      <sharedItems count="10">
        <s v="ZERZOURI LAMIAE"/>
        <s v="ALAMI-AROUSSI AHMED"/>
        <s v="OUALI SALWA"/>
        <s v="HMAM IKRAM"/>
        <s v="BOUFTIHA LAMIYAA"/>
        <s v="ENNAJIH SALMA"/>
        <s v="BARNASSO HAMZA"/>
        <s v="NAKHLA AYA"/>
        <s v="MOULINE SALMA"/>
        <s v="LYACOUBI HOUDA"/>
      </sharedItems>
    </cacheField>
  </cacheFields>
  <extLst>
    <ext xmlns:x14="http://schemas.microsoft.com/office/spreadsheetml/2009/9/main" uri="{725AE2AE-9491-48be-B2B4-4EB974FC3084}">
      <x14:pivotCacheDefinition pivotCacheId="127228366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DANI Mohamed [EIDS]" refreshedDate="46241.63036747685" createdVersion="7" refreshedVersion="7" minRefreshableVersion="3" recordCount="11" xr:uid="{FC5213EA-C7D0-46C3-95FF-AAEAE601EC45}">
  <cacheSource type="worksheet">
    <worksheetSource name="Tableau3"/>
  </cacheSource>
  <cacheFields count="1">
    <cacheField name="Agent" numFmtId="0">
      <sharedItems count="11">
        <s v="Amine"/>
        <s v="ZERZOURI LAMIAE"/>
        <s v="ALAMI-AROUSSI AHMED"/>
        <s v="OUALI SALWA"/>
        <s v="HMAM IKRAM"/>
        <s v="BOUFTIHA LAMIYAA"/>
        <s v="ENNAJIH SALMA"/>
        <s v="BARNASSO HAMZA"/>
        <s v="NAKHLA AYA"/>
        <s v="LYACOUBI HOUDA"/>
        <s v="MOULINE SALM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DANI Mohamed [EIDS]" refreshedDate="46241.630367708334" createdVersion="7" refreshedVersion="7" minRefreshableVersion="3" recordCount="137" xr:uid="{3AF75597-C2B8-4C8B-A11F-1AD3ED35278C}">
  <cacheSource type="worksheet">
    <worksheetSource name="Tableau4"/>
  </cacheSource>
  <cacheFields count="7">
    <cacheField name="SIRET" numFmtId="0">
      <sharedItems containsString="0" containsBlank="1" containsNumber="1" containsInteger="1" minValue="30738996500038" maxValue="99317687400010"/>
    </cacheField>
    <cacheField name="Raison sociale" numFmtId="0">
      <sharedItems/>
    </cacheField>
    <cacheField name="Type de facture" numFmtId="0">
      <sharedItems/>
    </cacheField>
    <cacheField name="Date limite de traitement" numFmtId="0">
      <sharedItems containsNonDate="0" containsDate="1" containsString="0" containsBlank="1" minDate="2026-08-07T00:00:00" maxDate="2026-08-08T00:00:00"/>
    </cacheField>
    <cacheField name="ID Import" numFmtId="0">
      <sharedItems count="2">
        <s v="IMP-20260806-104505-001"/>
        <s v="IMP-20260806-104505-002"/>
      </sharedItems>
    </cacheField>
    <cacheField name="Fichier source" numFmtId="0">
      <sharedItems/>
    </cacheField>
    <cacheField name="Age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DANI Mohamed [EIDS]" refreshedDate="46241.630367708334" createdVersion="7" refreshedVersion="7" minRefreshableVersion="3" recordCount="3" xr:uid="{2758C550-D09C-47F1-8976-37B61A240FD7}">
  <cacheSource type="worksheet">
    <worksheetSource name="Affecter"/>
  </cacheSource>
  <cacheFields count="6">
    <cacheField name="SIRET" numFmtId="1">
      <sharedItems containsSemiMixedTypes="0" containsString="0" containsNumber="1" containsInteger="1" minValue="90481478700019" maxValue="99317687400010"/>
    </cacheField>
    <cacheField name="Raison sociale" numFmtId="1">
      <sharedItems count="17">
        <s v="SCI CRESCENDO"/>
        <s v="SCI MULINO"/>
        <s v="SCI MARMO "/>
        <s v="SAS REDBERRY" u="1"/>
        <s v="SARL CP MENUISERIE" u="1"/>
        <s v="SAS INOPROD France " u="1"/>
        <s v="SARL HORIZON SOL " u="1"/>
        <s v=" SARL Unipersonnelle B2EB" u="1"/>
        <s v="INOPROD SAS " u="1"/>
        <s v="ROI DE BRETAGNE " u="1"/>
        <s v="SAS EBM BATIMENT " u="1"/>
        <s v="LONGCH&amp;CO" u="1"/>
        <s v="SASU EUROLAM " u="1"/>
        <s v="BASEROLO" u="1"/>
        <s v="SAS IWAKI" u="1"/>
        <s v="ASSOCIATION AERIAL " u="1"/>
        <s v="SAS TAVANO BATIMENT " u="1"/>
      </sharedItems>
    </cacheField>
    <cacheField name="Type de facture" numFmtId="0">
      <sharedItems/>
    </cacheField>
    <cacheField name="Date limite de traitement" numFmtId="14">
      <sharedItems containsSemiMixedTypes="0" containsNonDate="0" containsDate="1" containsString="0" minDate="2026-08-07T00:00:00" maxDate="2026-08-08T00:00:00"/>
    </cacheField>
    <cacheField name="ID Import" numFmtId="0">
      <sharedItems/>
    </cacheField>
    <cacheField name="Fichier sourc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41966458600031"/>
    <s v="SAS MARBRERIE FOURNITURES TECHNIQUES BATIMENT"/>
    <x v="0"/>
    <n v="46241"/>
    <s v="La société est dirigée par une personne morale."/>
    <m/>
    <m/>
    <m/>
    <x v="0"/>
    <s v="IMP-20260806-104505-001"/>
    <x v="0"/>
    <x v="0"/>
  </r>
  <r>
    <n v="32265981400048"/>
    <s v=" SAS LA BOCAINE"/>
    <x v="0"/>
    <n v="46241"/>
    <s v="La société est dirigée par une personne morale."/>
    <m/>
    <m/>
    <m/>
    <x v="0"/>
    <s v="IMP-20260805-165625-001"/>
    <x v="0"/>
    <x v="0"/>
  </r>
  <r>
    <n v="90531113000017"/>
    <s v="SCI RACINE "/>
    <x v="0"/>
    <n v="46241"/>
    <n v="70031595391299"/>
    <n v="227949401953"/>
    <s v="123456Az"/>
    <s v="SDE0292842741001XO"/>
    <x v="1"/>
    <s v="IMP-20260806-104505-001"/>
    <x v="0"/>
    <x v="1"/>
  </r>
  <r>
    <n v="53533279500058"/>
    <s v=" SARL RL DISTRIB-RACINE "/>
    <x v="0"/>
    <n v="46241"/>
    <n v="70031597756186"/>
    <n v="227949401754"/>
    <s v="123456Az"/>
    <s v="SDE0292842741001XV"/>
    <x v="1"/>
    <s v="IMP-20260806-104505-001"/>
    <x v="0"/>
    <x v="1"/>
  </r>
  <r>
    <n v="79899264000044"/>
    <s v=" SARL Unipersonnelle B2EB"/>
    <x v="0"/>
    <n v="46241"/>
    <n v="70031600298157"/>
    <n v="227949401255"/>
    <s v="123456Az"/>
    <s v="SDE0292842741001XZ"/>
    <x v="1"/>
    <s v="IMP-20260806-104505-001"/>
    <x v="0"/>
    <x v="1"/>
  </r>
  <r>
    <n v="40266888300026"/>
    <s v="ASSOCIATION AERIAL "/>
    <x v="0"/>
    <n v="46241"/>
    <s v="La société est dirigée par une personne morale."/>
    <m/>
    <m/>
    <m/>
    <x v="0"/>
    <s v="IMP-20260806-104505-002"/>
    <x v="0"/>
    <x v="2"/>
  </r>
  <r>
    <n v="38811449800032"/>
    <s v="ROI DE BRETAGNE "/>
    <x v="0"/>
    <n v="46241"/>
    <n v="70031593535383"/>
    <n v="227949401553"/>
    <s v="123456Az"/>
    <s v="SDE0292842741001XK"/>
    <x v="1"/>
    <s v="IMP-20260805-165625-002"/>
    <x v="0"/>
    <x v="2"/>
  </r>
  <r>
    <n v="82082438100025"/>
    <s v="INOPROD SAS "/>
    <x v="0"/>
    <n v="46241"/>
    <n v="70031593687007"/>
    <n v="227949401653"/>
    <s v="123456Az"/>
    <s v="SDE0292842741001XL"/>
    <x v="1"/>
    <s v="IMP-20260806-104505-001"/>
    <x v="0"/>
    <x v="3"/>
  </r>
  <r>
    <n v="52963533600033"/>
    <s v="SAS INOPROD France "/>
    <x v="0"/>
    <n v="46241"/>
    <n v="70031593687007"/>
    <n v="227949401454"/>
    <s v="123456Az"/>
    <s v="SDE0292842741001XS"/>
    <x v="1"/>
    <s v="IMP-20260806-104505-001"/>
    <x v="0"/>
    <x v="3"/>
  </r>
  <r>
    <n v="82948031800023"/>
    <s v="SAS REDBERRY"/>
    <x v="0"/>
    <n v="46241"/>
    <n v="70031597227606"/>
    <n v="227949401354"/>
    <s v="123456Az"/>
    <s v="SDE0292842741001XR"/>
    <x v="1"/>
    <s v="IMP-20260806-104505-001"/>
    <x v="0"/>
    <x v="4"/>
  </r>
  <r>
    <n v="32909522800063"/>
    <s v="SASU EUROLAM "/>
    <x v="0"/>
    <n v="46241"/>
    <s v="La société est dirigée par une personne morale."/>
    <m/>
    <m/>
    <m/>
    <x v="0"/>
    <s v="IMP-20260806-104505-003"/>
    <x v="0"/>
    <x v="4"/>
  </r>
  <r>
    <n v="80226024000022"/>
    <s v="SARL CP MENUISERIE"/>
    <x v="0"/>
    <n v="46241"/>
    <n v="70031594401027"/>
    <n v="227949401853"/>
    <s v="123456Az"/>
    <s v="SDE0292842741001XN"/>
    <x v="1"/>
    <s v="IMP-20260805-165625-003"/>
    <x v="0"/>
    <x v="5"/>
  </r>
  <r>
    <n v="38993529700033"/>
    <s v="SAS IWAKI"/>
    <x v="0"/>
    <n v="46241"/>
    <n v="70031596645198"/>
    <n v="227949401254"/>
    <s v="123456Az"/>
    <s v="SDE0292842741001XQ"/>
    <x v="1"/>
    <s v="IMP-20260806-104505-001"/>
    <x v="0"/>
    <x v="5"/>
  </r>
  <r>
    <n v="78992005500017"/>
    <s v="SAS TAVANO BATIMENT "/>
    <x v="0"/>
    <n v="46241"/>
    <s v="La société est dirigée par une personne morale."/>
    <m/>
    <m/>
    <m/>
    <x v="0"/>
    <s v="IMP-20260806-104505-001"/>
    <x v="0"/>
    <x v="5"/>
  </r>
  <r>
    <n v="89216717200014"/>
    <s v="LONGCH&amp;CO"/>
    <x v="0"/>
    <n v="46241"/>
    <n v="70031596271923"/>
    <n v="227949401154"/>
    <s v="123456Az"/>
    <s v="SDE0292842741001XP"/>
    <x v="1"/>
    <s v="IMP-20260806-104505-001"/>
    <x v="0"/>
    <x v="6"/>
  </r>
  <r>
    <n v="82304378100017"/>
    <s v="SARL HORIZON SOL "/>
    <x v="0"/>
    <n v="46241"/>
    <n v="70031598512199"/>
    <n v="227949401854"/>
    <s v="123456Az"/>
    <s v="SDE0292842741001XW"/>
    <x v="1"/>
    <s v="IMP-20260806-104505-004"/>
    <x v="0"/>
    <x v="6"/>
  </r>
  <r>
    <n v="91953084000025"/>
    <s v="BASEROLO"/>
    <x v="0"/>
    <n v="46241"/>
    <s v="La société est dirigée par une personne morale."/>
    <m/>
    <m/>
    <m/>
    <x v="0"/>
    <s v="IMP-20260805-165625-004"/>
    <x v="0"/>
    <x v="7"/>
  </r>
  <r>
    <n v="69715004300027"/>
    <s v="SAS EBM BATIMENT "/>
    <x v="0"/>
    <n v="46241"/>
    <s v="La société est dirigée par une personne morale."/>
    <m/>
    <m/>
    <m/>
    <x v="0"/>
    <s v="IMP-20260806-104505-001"/>
    <x v="0"/>
    <x v="7"/>
  </r>
  <r>
    <n v="90481478700019"/>
    <s v="SCI CRESCENDO"/>
    <x v="0"/>
    <n v="46241"/>
    <n v="70031595518784"/>
    <n v="227949401753"/>
    <s v="123456Az"/>
    <s v="SDE0292842741001XM"/>
    <x v="1"/>
    <s v="IMP-20260806-104505-001"/>
    <x v="0"/>
    <x v="8"/>
  </r>
  <r>
    <n v="93455056700010"/>
    <s v="SCI MULINO"/>
    <x v="0"/>
    <n v="46241"/>
    <n v="70031597809641"/>
    <n v="227949401654"/>
    <s v="123456Az"/>
    <s v="SDE0292842741001XU"/>
    <x v="1"/>
    <s v="IMP-20260806-104505-001"/>
    <x v="0"/>
    <x v="8"/>
  </r>
  <r>
    <n v="99317687400010"/>
    <s v="SCI MARMO "/>
    <x v="0"/>
    <n v="46241"/>
    <n v="70031599014912"/>
    <n v="227949401954"/>
    <s v="123456Az"/>
    <s v="SDE0292842741001XX"/>
    <x v="1"/>
    <s v="IMP-20260806-104505-005"/>
    <x v="0"/>
    <x v="8"/>
  </r>
  <r>
    <n v="41766776300052"/>
    <s v="CAPM EUROPE SA"/>
    <x v="1"/>
    <m/>
    <n v="70031504974500"/>
    <n v="227849401555"/>
    <s v="123456Az"/>
    <s v="SDE0292842741001VK"/>
    <x v="1"/>
    <s v="IMP-20260806-104505-006"/>
    <x v="1"/>
    <x v="1"/>
  </r>
  <r>
    <n v="34451758600055"/>
    <s v="CHARLES SERVICES"/>
    <x v="1"/>
    <m/>
    <n v="70031534827309"/>
    <n v="227849401458"/>
    <s v="123456Az"/>
    <s v="SDE0292842741001WA"/>
    <x v="1"/>
    <s v="IMP-20260806-104505-007"/>
    <x v="1"/>
    <x v="1"/>
  </r>
  <r>
    <n v="31789755100048"/>
    <s v="DOMINO"/>
    <x v="1"/>
    <m/>
    <n v="70031508080427"/>
    <n v="227849401156"/>
    <s v="123456Az"/>
    <s v="SDE0292842741001VP"/>
    <x v="1"/>
    <s v="IMP-20260806-104505-008"/>
    <x v="1"/>
    <x v="1"/>
  </r>
  <r>
    <n v="79937805400073"/>
    <s v="RESOSAFE"/>
    <x v="1"/>
    <m/>
    <s v="La société est dirigée par une personne morale."/>
    <m/>
    <m/>
    <m/>
    <x v="0"/>
    <s v="IMP-20260806-104505-009"/>
    <x v="1"/>
    <x v="1"/>
  </r>
  <r>
    <n v="39047163900034"/>
    <s v="ROS DIGITAL 75"/>
    <x v="1"/>
    <m/>
    <s v="La société est dirigée par une personne morale."/>
    <m/>
    <m/>
    <m/>
    <x v="0"/>
    <s v="IMP-20260806-104505-010"/>
    <x v="1"/>
    <x v="1"/>
  </r>
  <r>
    <n v="53113487200013"/>
    <s v="ROS DIGITAL 91"/>
    <x v="1"/>
    <m/>
    <n v="70031537241029"/>
    <n v="227849401858"/>
    <s v="123456Az"/>
    <s v="SDE0292842741001WE"/>
    <x v="1"/>
    <s v="IMP-20260806-104505-011"/>
    <x v="1"/>
    <x v="1"/>
  </r>
  <r>
    <n v="45197328300034"/>
    <s v="ROS DIGITAL IDF SUD"/>
    <x v="1"/>
    <m/>
    <n v="70031539140737"/>
    <n v="227849401359"/>
    <s v="123456Az"/>
    <s v="SDE0292842741001WI"/>
    <x v="1"/>
    <s v="IMP-20260806-104505-012"/>
    <x v="1"/>
    <x v="1"/>
  </r>
  <r>
    <n v="92069517800011"/>
    <s v="ROS DIGITAL SERVICES"/>
    <x v="1"/>
    <m/>
    <s v="La société est dirigée par une personne morale."/>
    <m/>
    <m/>
    <m/>
    <x v="0"/>
    <s v="IMP-20260806-104505-013"/>
    <x v="1"/>
    <x v="1"/>
  </r>
  <r>
    <n v="33049524300025"/>
    <s v="STE AM2"/>
    <x v="1"/>
    <m/>
    <s v="société Fermé"/>
    <m/>
    <m/>
    <m/>
    <x v="0"/>
    <s v="IMP-20260806-104505-014"/>
    <x v="1"/>
    <x v="1"/>
  </r>
  <r>
    <n v="42140281900039"/>
    <s v="TAURAND SERVICE MANUTENTION"/>
    <x v="1"/>
    <m/>
    <s v="La société est dirigée par une personne morale."/>
    <m/>
    <m/>
    <m/>
    <x v="0"/>
    <s v="IMP-20260806-104505-015"/>
    <x v="1"/>
    <x v="1"/>
  </r>
  <r>
    <n v="34774750300030"/>
    <s v="VIDEOJET TECHNOLOGIES"/>
    <x v="1"/>
    <m/>
    <n v="70031541101338"/>
    <n v="227849401759"/>
    <s v="123456Az"/>
    <s v="SDE0292842741001WM"/>
    <x v="1"/>
    <s v="IMP-20260806-104505-016"/>
    <x v="1"/>
    <x v="1"/>
  </r>
  <r>
    <n v="53510510000023"/>
    <s v="ATELIER OLIVIER CHARNAY TELECOM"/>
    <x v="1"/>
    <m/>
    <s v="La société est dirigée par une personne morale."/>
    <m/>
    <m/>
    <m/>
    <x v="0"/>
    <s v="IMP-20260806-104505-017"/>
    <x v="1"/>
    <x v="1"/>
  </r>
  <r>
    <n v="52320960900024"/>
    <s v="AU COMPTOIR DE LA CAISSE"/>
    <x v="1"/>
    <m/>
    <n v="70031543000971"/>
    <n v="227949401250"/>
    <s v="123456Az"/>
    <s v="SDE0292842741001WQ"/>
    <x v="1"/>
    <s v="IMP-20260806-104505-018"/>
    <x v="1"/>
    <x v="1"/>
  </r>
  <r>
    <n v="52253424700013"/>
    <s v="AXIOR"/>
    <x v="1"/>
    <m/>
    <n v="70031544110035"/>
    <n v="227949401350"/>
    <s v="123456Az"/>
    <s v="SDE0292842741001WR"/>
    <x v="0"/>
    <s v="IMP-20260806-104505-019"/>
    <x v="1"/>
    <x v="1"/>
  </r>
  <r>
    <n v="50221609600045"/>
    <s v="AXSAONE"/>
    <x v="1"/>
    <m/>
    <s v="La société est dirigée par une personne morale."/>
    <m/>
    <m/>
    <m/>
    <x v="0"/>
    <s v="IMP-20260806-104505-020"/>
    <x v="1"/>
    <x v="1"/>
  </r>
  <r>
    <n v="74981685600043"/>
    <s v="C2B INVESTISSEMENT"/>
    <x v="1"/>
    <m/>
    <s v="    La société est dirigée par une personne morale.    ,"/>
    <m/>
    <m/>
    <m/>
    <x v="0"/>
    <s v="IMP-20260806-104505-021"/>
    <x v="1"/>
    <x v="2"/>
  </r>
  <r>
    <n v="79417327800027"/>
    <s v="COMM PRO"/>
    <x v="1"/>
    <m/>
    <n v="70031512747936"/>
    <n v="227849401556"/>
    <s v="123456Az"/>
    <s v="SDE0292842741001VT"/>
    <x v="1"/>
    <s v="IMP-20260806-104505-022"/>
    <x v="1"/>
    <x v="2"/>
  </r>
  <r>
    <n v="47876369100035"/>
    <s v="DOCUMENT SOLUTIONS INFORMATIQUES"/>
    <x v="1"/>
    <m/>
    <n v="70031520084406"/>
    <n v="227849401257"/>
    <s v="123456Az"/>
    <s v="SDE0292842741001VZ"/>
    <x v="1"/>
    <s v="IMP-20260806-104505-023"/>
    <x v="1"/>
    <x v="2"/>
  </r>
  <r>
    <n v="33025346900036"/>
    <s v="ENTREPRISE TELEPHONIQUE GENERALE"/>
    <x v="1"/>
    <m/>
    <s v="société Fermé       ,"/>
    <m/>
    <m/>
    <m/>
    <x v="0"/>
    <s v="IMP-20260806-104505-024"/>
    <x v="1"/>
    <x v="2"/>
  </r>
  <r>
    <n v="76120077300015"/>
    <s v="ETABLISSEMENTS TIFLEX"/>
    <x v="1"/>
    <m/>
    <n v="70031535654657"/>
    <n v="227849401558"/>
    <s v="123456Az"/>
    <s v="SDE0292842741001WB"/>
    <x v="1"/>
    <s v="IMP-20260806-104505-025"/>
    <x v="1"/>
    <x v="2"/>
  </r>
  <r>
    <n v="43821718400045"/>
    <s v="GILLES MOREL"/>
    <x v="1"/>
    <m/>
    <n v="70031539542230"/>
    <n v="227849401559"/>
    <s v="123456Az"/>
    <s v="SDE0292842741001WK"/>
    <x v="1"/>
    <s v="IMP-20260806-104505-026"/>
    <x v="1"/>
    <x v="2"/>
  </r>
  <r>
    <n v="40825713700047"/>
    <s v="HUBTEX FRANCE"/>
    <x v="1"/>
    <m/>
    <n v="70031544802778"/>
    <n v="227949401750"/>
    <s v="123456Az"/>
    <s v="SDE0292842741001WV"/>
    <x v="1"/>
    <s v="IMP-20260806-104505-027"/>
    <x v="1"/>
    <x v="2"/>
  </r>
  <r>
    <n v="44338869900037"/>
    <s v="MANUSTRA"/>
    <x v="1"/>
    <m/>
    <s v="70031553390070 "/>
    <n v="227949401951"/>
    <s v="123456Az"/>
    <s v="SDE0292842741001X6"/>
    <x v="1"/>
    <s v="IMP-20260806-104505-028"/>
    <x v="1"/>
    <x v="2"/>
  </r>
  <r>
    <n v="31675497700023"/>
    <s v="MANUTENTION SERVICE"/>
    <x v="1"/>
    <m/>
    <s v="    La société est dirigée par une personne morale.    ,"/>
    <m/>
    <m/>
    <m/>
    <x v="0"/>
    <s v="IMP-20260806-104505-029"/>
    <x v="1"/>
    <x v="2"/>
  </r>
  <r>
    <n v="42126398900020"/>
    <s v="MS 42"/>
    <x v="1"/>
    <m/>
    <n v="70031560219260"/>
    <n v="227949401852"/>
    <s v="123456Az"/>
    <s v="SDE0292842741001XE"/>
    <x v="1"/>
    <s v="IMP-20260806-104505-030"/>
    <x v="1"/>
    <x v="2"/>
  </r>
  <r>
    <n v="35032902500042"/>
    <s v="ORGANIGAM BUREAUTIQUE"/>
    <x v="1"/>
    <m/>
    <s v="    La société est dirigée par une personne morale.    ,"/>
    <m/>
    <m/>
    <m/>
    <x v="0"/>
    <s v="IMP-20260806-104505-031"/>
    <x v="1"/>
    <x v="2"/>
  </r>
  <r>
    <n v="38335951001284"/>
    <s v="REX ROTARY CHAMBERY"/>
    <x v="1"/>
    <m/>
    <n v="70031569467913"/>
    <n v="227949401253"/>
    <s v="123456Az"/>
    <s v="SDE0292842741001XH"/>
    <x v="1"/>
    <s v="IMP-20260806-104505-032"/>
    <x v="1"/>
    <x v="2"/>
  </r>
  <r>
    <n v="35132272200064"/>
    <s v="RISO AIX EN PCE/MARSEILLE"/>
    <x v="1"/>
    <m/>
    <n v="70031573086747"/>
    <n v="227949401353"/>
    <s v="123456Az"/>
    <s v="SDE0292842741001XI"/>
    <x v="1"/>
    <s v="IMP-20260806-104505-033"/>
    <x v="1"/>
    <x v="2"/>
  </r>
  <r>
    <n v="35132272200064"/>
    <s v="RISO PARIS"/>
    <x v="1"/>
    <m/>
    <n v="70031573086747"/>
    <n v="227949401353"/>
    <s v="123456Az"/>
    <s v="SDE0292842741001XI"/>
    <x v="1"/>
    <s v="IMP-20260806-104505-034"/>
    <x v="1"/>
    <x v="2"/>
  </r>
  <r>
    <n v="38821746500045"/>
    <s v="SOGEMA"/>
    <x v="1"/>
    <m/>
    <n v="70031506137590"/>
    <n v="227849401755"/>
    <s v="123456Az"/>
    <s v="SDE0292842741001VM"/>
    <x v="1"/>
    <s v="IMP-20260806-104505-035"/>
    <x v="1"/>
    <x v="3"/>
  </r>
  <r>
    <n v="30778703600051"/>
    <s v="SYBORD"/>
    <x v="1"/>
    <m/>
    <n v="70031513617190"/>
    <n v="227849401656"/>
    <s v="123456Az"/>
    <s v="SDE0292842741001VU"/>
    <x v="1"/>
    <s v="IMP-20260806-104505-036"/>
    <x v="1"/>
    <x v="3"/>
  </r>
  <r>
    <n v="44348571900050"/>
    <s v="TERAMAT AUVERGNE"/>
    <x v="1"/>
    <m/>
    <s v="    La société est dirigée par une personne morale.    ,"/>
    <m/>
    <m/>
    <m/>
    <x v="0"/>
    <s v="IMP-20260806-104505-037"/>
    <x v="1"/>
    <x v="3"/>
  </r>
  <r>
    <n v="79469851400039"/>
    <s v="YNOV IT SUD"/>
    <x v="1"/>
    <m/>
    <s v="    La société est dirigée par une personne morale.    ,"/>
    <m/>
    <m/>
    <m/>
    <x v="0"/>
    <s v="IMP-20260806-104505-038"/>
    <x v="1"/>
    <x v="3"/>
  </r>
  <r>
    <n v="49360407800045"/>
    <s v="ACTEMIS"/>
    <x v="1"/>
    <m/>
    <s v="    La société est dirigée par une personne morale.    ,"/>
    <m/>
    <m/>
    <m/>
    <x v="0"/>
    <s v="IMP-20260806-104505-039"/>
    <x v="1"/>
    <x v="3"/>
  </r>
  <r>
    <n v="49157149300023"/>
    <s v="AXENS"/>
    <x v="1"/>
    <m/>
    <n v="70031535294789"/>
    <n v="227849401758"/>
    <s v="123456Az"/>
    <s v="SDE0292842741001WD"/>
    <x v="1"/>
    <s v="IMP-20260806-104505-040"/>
    <x v="1"/>
    <x v="3"/>
  </r>
  <r>
    <n v="49333463500106"/>
    <s v="B CONTACT DEVELOPPEMENT"/>
    <x v="1"/>
    <m/>
    <n v="70031542423067"/>
    <n v="227849401959"/>
    <s v="123456Az"/>
    <s v="SDE0292842741001WO"/>
    <x v="1"/>
    <s v="IMP-20260806-104505-041"/>
    <x v="1"/>
    <x v="3"/>
  </r>
  <r>
    <n v="38423665900072"/>
    <s v="B CONTACT PROVENCE"/>
    <x v="1"/>
    <m/>
    <s v="société Fermé       "/>
    <m/>
    <m/>
    <m/>
    <x v="0"/>
    <s v="IMP-20260806-104505-042"/>
    <x v="1"/>
    <x v="3"/>
  </r>
  <r>
    <n v="45314873600029"/>
    <s v="B2M"/>
    <x v="1"/>
    <m/>
    <s v="    La société est dirigée par une personne morale.    ,"/>
    <m/>
    <m/>
    <m/>
    <x v="0"/>
    <s v="IMP-20260806-104505-043"/>
    <x v="1"/>
    <x v="3"/>
  </r>
  <r>
    <n v="37964940300035"/>
    <s v="COPIE CONFORME"/>
    <x v="1"/>
    <m/>
    <n v="70031544518406"/>
    <n v="227949401550"/>
    <s v="123456Az"/>
    <s v="SDE0292842741001WT"/>
    <x v="1"/>
    <s v="IMP-20260806-104505-044"/>
    <x v="1"/>
    <x v="3"/>
  </r>
  <r>
    <n v="41473452500028"/>
    <s v="DATA BURO"/>
    <x v="1"/>
    <m/>
    <n v="70031553650349"/>
    <n v="227949401252"/>
    <s v="123456Az"/>
    <s v="SDE0292842741001X8"/>
    <x v="1"/>
    <s v="IMP-20260806-104505-045"/>
    <x v="1"/>
    <x v="3"/>
  </r>
  <r>
    <n v="95750394900035"/>
    <s v="ELECTRO CALORIQUE"/>
    <x v="1"/>
    <m/>
    <s v="Absence de la date de naissance du dirigeant "/>
    <m/>
    <m/>
    <m/>
    <x v="0"/>
    <s v="IMP-20260806-104505-046"/>
    <x v="1"/>
    <x v="3"/>
  </r>
  <r>
    <n v="38367918000026"/>
    <s v="G 2 A"/>
    <x v="1"/>
    <m/>
    <n v="70031557736208"/>
    <n v="227949401652"/>
    <s v="123456Az"/>
    <s v="SDE0292842741001XC"/>
    <x v="1"/>
    <s v="IMP-20260806-104505-047"/>
    <x v="1"/>
    <x v="3"/>
  </r>
  <r>
    <n v="50125792700043"/>
    <s v="INPS GROUPE"/>
    <x v="1"/>
    <m/>
    <n v="70031559643134"/>
    <n v="227949401752"/>
    <s v="123456Az"/>
    <s v="SDE0292842741001XD"/>
    <x v="1"/>
    <s v="IMP-20260806-104505-048"/>
    <x v="1"/>
    <x v="3"/>
  </r>
  <r>
    <n v="50947827700064"/>
    <s v="MARKEM-IMAJE SAS"/>
    <x v="1"/>
    <m/>
    <n v="70031505673228"/>
    <n v="227849401655"/>
    <s v="123456Az"/>
    <s v="SDE0292842741001VL"/>
    <x v="1"/>
    <s v="IMP-20260806-104505-049"/>
    <x v="1"/>
    <x v="5"/>
  </r>
  <r>
    <n v="95680282100036"/>
    <s v="MODERNE D ORGANISATION DE BUREAU"/>
    <x v="1"/>
    <m/>
    <n v="70031511859066"/>
    <n v="227849401456"/>
    <s v="123456Az"/>
    <s v="SDE0292842741001VS"/>
    <x v="1"/>
    <s v="IMP-20260806-104505-050"/>
    <x v="1"/>
    <x v="5"/>
  </r>
  <r>
    <n v="91020324900016"/>
    <s v="NEO OFFICE"/>
    <x v="1"/>
    <m/>
    <n v="70031516056644"/>
    <n v="227849401157"/>
    <s v="123456Az"/>
    <s v="SDE0292842741001VY"/>
    <x v="1"/>
    <s v="IMP-20260806-104505-051"/>
    <x v="1"/>
    <x v="5"/>
  </r>
  <r>
    <n v="38335951001367"/>
    <s v="REX ROTARY"/>
    <x v="1"/>
    <m/>
    <n v="70031520337306"/>
    <n v="227849401357"/>
    <s v="123456Az"/>
    <s v="SDE0292842741001W0"/>
    <x v="1"/>
    <s v="IMP-20260806-104505-052"/>
    <x v="1"/>
    <x v="5"/>
  </r>
  <r>
    <n v="32913278100033"/>
    <s v="SA GAI FRANCE"/>
    <x v="1"/>
    <m/>
    <n v="70031534531598"/>
    <n v="227849401158"/>
    <s v="123456Az"/>
    <s v="SDE0292842741001W7"/>
    <x v="1"/>
    <s v="IMP-20260806-104505-053"/>
    <x v="1"/>
    <x v="5"/>
  </r>
  <r>
    <n v="80161144300012"/>
    <s v="SECURITAS TECHNOLOGIES"/>
    <x v="1"/>
    <m/>
    <n v="70031537462209"/>
    <n v="227849401958"/>
    <s v="123456Az"/>
    <s v="SDE0292842741001WF"/>
    <x v="1"/>
    <s v="IMP-20260806-104505-054"/>
    <x v="1"/>
    <x v="5"/>
  </r>
  <r>
    <m/>
    <s v="SMB"/>
    <x v="1"/>
    <m/>
    <m/>
    <m/>
    <m/>
    <m/>
    <x v="0"/>
    <s v="IMP-20260806-104505-055"/>
    <x v="1"/>
    <x v="5"/>
  </r>
  <r>
    <n v="34265658400014"/>
    <s v="SOCIETE BIZON MATERIEL"/>
    <x v="1"/>
    <m/>
    <s v="La société est dirigée par une personne morale."/>
    <m/>
    <m/>
    <m/>
    <x v="0"/>
    <s v="IMP-20260806-104505-056"/>
    <x v="1"/>
    <x v="5"/>
  </r>
  <r>
    <n v="38179818000042"/>
    <s v="SRE"/>
    <x v="1"/>
    <m/>
    <n v="70031544322537"/>
    <n v="227949401450"/>
    <s v="123456Az"/>
    <s v="SDE0292842741001WS"/>
    <x v="1"/>
    <s v="IMP-20260806-104505-057"/>
    <x v="1"/>
    <x v="5"/>
  </r>
  <r>
    <n v="80938416700064"/>
    <s v="SUDALPES SERVICES"/>
    <x v="1"/>
    <m/>
    <s v="La société est dirigée par une personne morale."/>
    <m/>
    <m/>
    <m/>
    <x v="0"/>
    <s v="IMP-20260806-104505-058"/>
    <x v="1"/>
    <x v="5"/>
  </r>
  <r>
    <n v="33009739500025"/>
    <s v="TCEM AGENCE AVIGNON"/>
    <x v="1"/>
    <m/>
    <n v="70031545332835"/>
    <n v="227949401850"/>
    <s v="123456Az"/>
    <s v="SDE0292842741001WW"/>
    <x v="1"/>
    <s v="IMP-20260806-104505-059"/>
    <x v="1"/>
    <x v="5"/>
  </r>
  <r>
    <n v="33009739500025"/>
    <s v="TCEM AGENCE NICE"/>
    <x v="1"/>
    <m/>
    <s v="doublon"/>
    <m/>
    <m/>
    <m/>
    <x v="0"/>
    <s v="IMP-20260806-104505-060"/>
    <x v="1"/>
    <x v="5"/>
  </r>
  <r>
    <n v="33009739500025"/>
    <s v="TCEM AGENCE TOULON"/>
    <x v="1"/>
    <m/>
    <s v="doublon"/>
    <m/>
    <m/>
    <m/>
    <x v="0"/>
    <s v="IMP-20260806-104505-061"/>
    <x v="1"/>
    <x v="5"/>
  </r>
  <r>
    <n v="40229488800027"/>
    <s v="TERRACULTURE"/>
    <x v="1"/>
    <m/>
    <n v="70031545963486"/>
    <n v="227949401651"/>
    <s v="123456Az"/>
    <s v="SDE0292842741001X3"/>
    <x v="1"/>
    <s v="IMP-20260806-104505-062"/>
    <x v="1"/>
    <x v="5"/>
  </r>
  <r>
    <n v="30738996500038"/>
    <s v="ALLIANCE BOIS MATERIEL"/>
    <x v="1"/>
    <m/>
    <s v="La société est dirigée par une personne morale."/>
    <m/>
    <m/>
    <m/>
    <x v="0"/>
    <s v="IMP-20260806-104505-063"/>
    <x v="1"/>
    <x v="5"/>
  </r>
  <r>
    <n v="48118401800044"/>
    <s v="BUROLOGIC"/>
    <x v="1"/>
    <m/>
    <s v="La société est dirigée par une personne morale."/>
    <m/>
    <m/>
    <m/>
    <x v="0"/>
    <s v="IMP-20260806-104505-064"/>
    <x v="1"/>
    <x v="7"/>
  </r>
  <r>
    <n v="42999261300050"/>
    <s v="BUROLOGIC 49"/>
    <x v="1"/>
    <m/>
    <s v="La société est dirigée par une personne morale."/>
    <m/>
    <m/>
    <m/>
    <x v="0"/>
    <s v="IMP-20260806-104505-065"/>
    <x v="1"/>
    <x v="7"/>
  </r>
  <r>
    <n v="94305988100012"/>
    <s v="BUROLOGIC 79"/>
    <x v="1"/>
    <m/>
    <s v="La société est dirigée par une personne morale."/>
    <m/>
    <m/>
    <m/>
    <x v="0"/>
    <s v="IMP-20260806-104505-066"/>
    <x v="1"/>
    <x v="7"/>
  </r>
  <r>
    <n v="37879953000050"/>
    <s v="BUROLOGIC 85"/>
    <x v="1"/>
    <m/>
    <s v="société Fermé       "/>
    <m/>
    <m/>
    <m/>
    <x v="0"/>
    <s v="IMP-20260806-104505-067"/>
    <x v="1"/>
    <x v="7"/>
  </r>
  <r>
    <n v="34014010200039"/>
    <s v="CTV"/>
    <x v="1"/>
    <m/>
    <s v="La société est dirigée par une personne morale."/>
    <m/>
    <m/>
    <m/>
    <x v="0"/>
    <s v="IMP-20260806-104505-068"/>
    <x v="1"/>
    <x v="7"/>
  </r>
  <r>
    <n v="86050038800092"/>
    <s v="SIREN TELECOMS"/>
    <x v="1"/>
    <m/>
    <s v="La société est dirigée par une personne morale."/>
    <m/>
    <m/>
    <m/>
    <x v="0"/>
    <s v="IMP-20260806-104505-069"/>
    <x v="1"/>
    <x v="7"/>
  </r>
  <r>
    <n v="39936902400092"/>
    <s v="SOLSTIS"/>
    <x v="1"/>
    <m/>
    <n v="70031509733700"/>
    <n v="227849401256"/>
    <s v="123456Az"/>
    <s v="SDE0292842741001VQ"/>
    <x v="1"/>
    <s v="IMP-20260806-104505-070"/>
    <x v="1"/>
    <x v="7"/>
  </r>
  <r>
    <n v="39838211900020"/>
    <s v="SRB BLANCHARD"/>
    <x v="1"/>
    <m/>
    <n v="70031535509182"/>
    <n v="227849401358"/>
    <s v="123456Az"/>
    <s v="SDE0292842741001W9"/>
    <x v="1"/>
    <s v="IMP-20260806-104505-071"/>
    <x v="1"/>
    <x v="7"/>
  </r>
  <r>
    <n v="38294005400069"/>
    <s v="STE VIENNE DOCUMENTIQUE"/>
    <x v="1"/>
    <m/>
    <s v="La société est dirigée par une personne morale."/>
    <m/>
    <m/>
    <m/>
    <x v="0"/>
    <s v="IMP-20260806-104505-072"/>
    <x v="1"/>
    <x v="7"/>
  </r>
  <r>
    <n v="33478205900177"/>
    <s v="TOSHIBA CENTRE GRAND OUEST BLOIS"/>
    <x v="1"/>
    <m/>
    <n v="70031542803167"/>
    <n v="227849401459"/>
    <s v="123456Az"/>
    <s v="SDE0292842741001WJ"/>
    <x v="1"/>
    <s v="IMP-20260806-104505-073"/>
    <x v="1"/>
    <x v="7"/>
  </r>
  <r>
    <n v="35188747600031"/>
    <s v="ALGAN-SIREC"/>
    <x v="1"/>
    <m/>
    <n v="70031545757995"/>
    <n v="227949401351"/>
    <s v="123456Az"/>
    <s v="SDE0292842741001X0"/>
    <x v="1"/>
    <s v="IMP-20260806-104505-074"/>
    <x v="1"/>
    <x v="7"/>
  </r>
  <r>
    <n v="35244123200068"/>
    <s v="EKTOR"/>
    <x v="1"/>
    <m/>
    <s v="_x0009_70031546406030"/>
    <n v="227949401851"/>
    <s v="123456Az"/>
    <s v="SDE0292842741001X5"/>
    <x v="1"/>
    <s v="IMP-20260806-104505-075"/>
    <x v="1"/>
    <x v="7"/>
  </r>
  <r>
    <n v="38178971800065"/>
    <s v="REPROLAND"/>
    <x v="1"/>
    <m/>
    <s v="Absence de la date de naissance du dirigeant "/>
    <m/>
    <m/>
    <m/>
    <x v="0"/>
    <s v="IMP-20260806-104505-076"/>
    <x v="1"/>
    <x v="7"/>
  </r>
  <r>
    <n v="37805349000058"/>
    <s v="SARL MAZOYER"/>
    <x v="1"/>
    <m/>
    <n v="70031556877378"/>
    <n v="227949401452"/>
    <s v="123456Az"/>
    <s v="SDE0292842741001XA"/>
    <x v="1"/>
    <s v="IMP-20260806-104505-077"/>
    <x v="1"/>
    <x v="7"/>
  </r>
  <r>
    <n v="42492579000083"/>
    <s v="START SECURE 3%"/>
    <x v="1"/>
    <m/>
    <s v="La société est dirigée par une personne morale."/>
    <m/>
    <m/>
    <m/>
    <x v="0"/>
    <s v="IMP-20260806-104505-078"/>
    <x v="1"/>
    <x v="7"/>
  </r>
  <r>
    <n v="42492579000083"/>
    <s v="START SECURE 4,52%"/>
    <x v="1"/>
    <m/>
    <s v="SIRET faux"/>
    <m/>
    <m/>
    <m/>
    <x v="0"/>
    <s v="IMP-20260806-104505-079"/>
    <x v="1"/>
    <x v="8"/>
  </r>
  <r>
    <n v="42343997500016"/>
    <s v="BLANCHARD TP NORMANDIE"/>
    <x v="1"/>
    <m/>
    <n v="70031507396491"/>
    <n v="227849401955"/>
    <s v="123456Az"/>
    <s v="SDE0292842741001VO"/>
    <x v="1"/>
    <s v="IMP-20260806-104505-080"/>
    <x v="1"/>
    <x v="8"/>
  </r>
  <r>
    <n v="31214052800018"/>
    <s v="DEMOLIN NORMANDIE"/>
    <x v="1"/>
    <m/>
    <s v="La société est dirigée par une personne morale."/>
    <m/>
    <m/>
    <m/>
    <x v="0"/>
    <s v="IMP-20260806-104505-081"/>
    <x v="1"/>
    <x v="8"/>
  </r>
  <r>
    <n v="45046145400016"/>
    <s v="LOUTZ CHARIOTS ELEVATEURS"/>
    <x v="1"/>
    <m/>
    <n v="70031521565744"/>
    <n v="227849401557"/>
    <s v="123456Az"/>
    <s v="SDE0292842741001W2"/>
    <x v="1"/>
    <s v="IMP-20260806-104505-082"/>
    <x v="1"/>
    <x v="8"/>
  </r>
  <r>
    <n v="33533889300050"/>
    <s v="MANUCO SERVICES"/>
    <x v="1"/>
    <m/>
    <m/>
    <m/>
    <m/>
    <m/>
    <x v="0"/>
    <s v="IMP-20260806-104505-083"/>
    <x v="1"/>
    <x v="8"/>
  </r>
  <r>
    <n v="42101373100052"/>
    <s v="MASSELIN COMMUNICATION"/>
    <x v="1"/>
    <m/>
    <n v="70031535419678"/>
    <n v="227849401658"/>
    <s v="123456Az"/>
    <s v="SDE0292842741001WC"/>
    <x v="1"/>
    <s v="IMP-20260806-104505-084"/>
    <x v="1"/>
    <x v="8"/>
  </r>
  <r>
    <n v="41455649800056"/>
    <s v="UNITED TELECOM ET TRAVAUX"/>
    <x v="1"/>
    <m/>
    <n v="70031539070689"/>
    <n v="227849401259"/>
    <s v="123456Az"/>
    <s v="SDE0292842741001WH"/>
    <x v="1"/>
    <s v="IMP-20260806-104505-085"/>
    <x v="1"/>
    <x v="8"/>
  </r>
  <r>
    <n v="52792826100041"/>
    <s v="UNITED TELECOM OUEST"/>
    <x v="1"/>
    <m/>
    <n v="70031540728147"/>
    <n v="227849401659"/>
    <s v="123456Az"/>
    <s v="SDE0292842741001WL"/>
    <x v="1"/>
    <s v="IMP-20260806-104505-086"/>
    <x v="1"/>
    <x v="8"/>
  </r>
  <r>
    <n v="45160142100063"/>
    <s v="ACCURAY EUROPE"/>
    <x v="1"/>
    <m/>
    <n v="70031542905325"/>
    <n v="227949401150"/>
    <s v="123456Az"/>
    <s v="SDE0292842741001WP"/>
    <x v="1"/>
    <s v="IMP-20260806-104505-087"/>
    <x v="1"/>
    <x v="8"/>
  </r>
  <r>
    <n v="61203967700077"/>
    <s v="CANON MEDICAL PUBLIC"/>
    <x v="1"/>
    <m/>
    <n v="70031553420549"/>
    <n v="227949401152"/>
    <s v="123456Az"/>
    <s v="SDE0292842741001X7"/>
    <x v="1"/>
    <s v="IMP-20260806-104505-088"/>
    <x v="1"/>
    <x v="8"/>
  </r>
  <r>
    <n v="61203967700077"/>
    <s v="CANON MEDICAL SYSTEMS FRANCE SAS"/>
    <x v="1"/>
    <m/>
    <s v="doublon"/>
    <m/>
    <m/>
    <m/>
    <x v="0"/>
    <s v="IMP-20260806-104505-089"/>
    <x v="1"/>
    <x v="8"/>
  </r>
  <r>
    <n v="80857462800042"/>
    <s v="CARDIO PRIVE"/>
    <x v="1"/>
    <m/>
    <n v="70031556511267"/>
    <n v="227949401352"/>
    <s v="123456Az"/>
    <s v="SDE0292842741001X9"/>
    <x v="1"/>
    <s v="IMP-20260806-104505-090"/>
    <x v="1"/>
    <x v="8"/>
  </r>
  <r>
    <n v="80857462800042"/>
    <s v="CARDIO PUBLIC"/>
    <x v="1"/>
    <m/>
    <s v="doublon"/>
    <m/>
    <m/>
    <m/>
    <x v="0"/>
    <s v="IMP-20260806-104505-091"/>
    <x v="1"/>
    <x v="8"/>
  </r>
  <r>
    <n v="80857462800042"/>
    <s v="CT PRIVE"/>
    <x v="1"/>
    <m/>
    <s v="doublon"/>
    <m/>
    <m/>
    <m/>
    <x v="0"/>
    <s v="IMP-20260806-104505-092"/>
    <x v="1"/>
    <x v="8"/>
  </r>
  <r>
    <m/>
    <s v="ECHO CARDIO"/>
    <x v="1"/>
    <m/>
    <s v="absence n° SIRET "/>
    <m/>
    <m/>
    <m/>
    <x v="0"/>
    <s v="IMP-20260806-104505-093"/>
    <x v="1"/>
    <x v="8"/>
  </r>
  <r>
    <n v="80857462800026"/>
    <s v="ECHO GYNECO"/>
    <x v="1"/>
    <m/>
    <n v="70031545007635"/>
    <n v="227949401650"/>
    <s v="123456Az"/>
    <s v="SDE0292842741001WU"/>
    <x v="1"/>
    <s v="IMP-20260806-104505-094"/>
    <x v="1"/>
    <x v="8"/>
  </r>
  <r>
    <n v="42330516800100"/>
    <s v="ESAOTE MEDICAL"/>
    <x v="1"/>
    <m/>
    <n v="70031514390361"/>
    <n v="227849401756"/>
    <s v="123456Az"/>
    <s v="SDE0292842741001VV"/>
    <x v="1"/>
    <s v="IMP-20260806-104505-095"/>
    <x v="1"/>
    <x v="9"/>
  </r>
  <r>
    <n v="40993621800059"/>
    <s v="FILMS ACCESSOIRES SERVICES"/>
    <x v="1"/>
    <m/>
    <n v="70031525171191"/>
    <n v="227849401757"/>
    <s v="123456Az"/>
    <s v="SDE0292842741001W4"/>
    <x v="1"/>
    <s v="IMP-20260806-104505-096"/>
    <x v="1"/>
    <x v="9"/>
  </r>
  <r>
    <n v="40866344100082"/>
    <s v="FUJIFILM HEALTHCARE FRANCE SAS"/>
    <x v="1"/>
    <m/>
    <n v="70031529706040"/>
    <n v="227849401957"/>
    <s v="123456Az"/>
    <s v="SDE0292842741001W6"/>
    <x v="1"/>
    <s v="IMP-20260806-104505-097"/>
    <x v="1"/>
    <x v="9"/>
  </r>
  <r>
    <n v="80857462800042"/>
    <s v="GE HEALTHCARE EQUIPMENT FINANCE"/>
    <x v="1"/>
    <m/>
    <n v="70031533788203"/>
    <n v="227849401258"/>
    <s v="mot de passe incorrecte "/>
    <s v="SDE0292842741001W8"/>
    <x v="1"/>
    <s v="IMP-20260806-104505-098"/>
    <x v="1"/>
    <x v="9"/>
  </r>
  <r>
    <n v="80857462800034"/>
    <s v="GE HEF - ECHO RADIO"/>
    <x v="1"/>
    <m/>
    <m/>
    <m/>
    <m/>
    <m/>
    <x v="0"/>
    <s v="IMP-20260806-104505-099"/>
    <x v="1"/>
    <x v="9"/>
  </r>
  <r>
    <m/>
    <s v="GE MEDICAL SYSTEM ULTRASOUND &amp;"/>
    <x v="1"/>
    <m/>
    <s v="absence n° SIRET "/>
    <m/>
    <m/>
    <m/>
    <x v="0"/>
    <s v="IMP-20260806-104505-100"/>
    <x v="1"/>
    <x v="9"/>
  </r>
  <r>
    <n v="31501335900155"/>
    <s v="GE MEDICAL SYSTEMS"/>
    <x v="1"/>
    <m/>
    <n v="70031538034363"/>
    <n v="227849401159"/>
    <s v="123456Az"/>
    <s v="SDE0292842741001WG"/>
    <x v="1"/>
    <s v="IMP-20260806-104505-101"/>
    <x v="1"/>
    <x v="9"/>
  </r>
  <r>
    <n v="80857462800042"/>
    <s v="IMAGING - CT PUBLIC"/>
    <x v="1"/>
    <m/>
    <n v="70031542752983"/>
    <n v="227849401859"/>
    <s v="123456Az"/>
    <s v="SDE0292842741001WN"/>
    <x v="1"/>
    <s v="IMP-20260806-104505-102"/>
    <x v="1"/>
    <x v="9"/>
  </r>
  <r>
    <n v="80857462800042"/>
    <s v="IMAGING - MI PUBLIC"/>
    <x v="1"/>
    <m/>
    <s v="doublon"/>
    <m/>
    <m/>
    <m/>
    <x v="0"/>
    <s v="IMP-20260806-104505-103"/>
    <x v="1"/>
    <x v="9"/>
  </r>
  <r>
    <n v="80857462800042"/>
    <s v="IMAGING - MR PUBLIC"/>
    <x v="1"/>
    <m/>
    <s v="doublon"/>
    <m/>
    <m/>
    <m/>
    <x v="0"/>
    <s v="IMP-20260806-104505-104"/>
    <x v="1"/>
    <x v="9"/>
  </r>
  <r>
    <n v="80857462800042"/>
    <s v="IMAGING MI PRIVE"/>
    <x v="1"/>
    <m/>
    <s v="doublon"/>
    <m/>
    <m/>
    <m/>
    <x v="0"/>
    <s v="IMP-20260806-104505-105"/>
    <x v="1"/>
    <x v="9"/>
  </r>
  <r>
    <n v="80857462800442"/>
    <s v="MAMMOGRAPHIE PRIVE"/>
    <x v="1"/>
    <m/>
    <s v="doublon"/>
    <m/>
    <m/>
    <m/>
    <x v="0"/>
    <s v="IMP-20260806-104505-106"/>
    <x v="1"/>
    <x v="9"/>
  </r>
  <r>
    <n v="80857462800342"/>
    <s v="MAMMOGRAPHIE PUBLIC"/>
    <x v="1"/>
    <m/>
    <s v="doublon"/>
    <m/>
    <m/>
    <m/>
    <x v="0"/>
    <s v="IMP-20260806-104505-107"/>
    <x v="1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n v="41966458600031"/>
    <s v="SAS MARBRERIE FOURNITURES TECHNIQUES BATIMENT"/>
    <s v="E+R"/>
    <d v="2026-08-07T00:00:00"/>
    <x v="0"/>
    <s v="LOKOA éditeur Abonnés v.31.07.26 (source).xlsx"/>
    <s v="ALAMI-AROUSSI AHMED"/>
  </r>
  <r>
    <n v="32265981400048"/>
    <s v=" SAS LA BOCAINE"/>
    <s v="E+R"/>
    <d v="2026-08-07T00:00:00"/>
    <x v="0"/>
    <s v="LOKOA éditeur Abonnés v.31.07.26 (source).xlsx"/>
    <s v="ZERZOURI LAMIAE"/>
  </r>
  <r>
    <n v="90531113000017"/>
    <s v="SCI RACINE "/>
    <s v="E+R"/>
    <d v="2026-08-07T00:00:00"/>
    <x v="0"/>
    <s v="LOKOA éditeur Abonnés v.31.07.26 (source).xlsx"/>
    <s v="ALAMI-AROUSSI AHMED"/>
  </r>
  <r>
    <n v="53533279500058"/>
    <s v=" SARL RL DISTRIB-RACINE "/>
    <s v="E+R"/>
    <d v="2026-08-07T00:00:00"/>
    <x v="0"/>
    <s v="LOKOA éditeur Abonnés v.31.07.26 (source).xlsx"/>
    <s v="ALAMI-AROUSSI AHMED"/>
  </r>
  <r>
    <n v="79899264000044"/>
    <s v=" SARL Unipersonnelle B2EB"/>
    <s v="E+R"/>
    <d v="2026-08-07T00:00:00"/>
    <x v="0"/>
    <s v="LOKOA éditeur Abonnés v.31.07.26 (source).xlsx"/>
    <s v="ALAMI-AROUSSI AHMED"/>
  </r>
  <r>
    <n v="40266888300026"/>
    <s v="ASSOCIATION AERIAL "/>
    <s v="E+R"/>
    <d v="2026-08-07T00:00:00"/>
    <x v="0"/>
    <s v="LOKOA éditeur Abonnés v.31.07.26 (source).xlsx"/>
    <s v="OUALI SALWA"/>
  </r>
  <r>
    <n v="38811449800032"/>
    <s v="ROI DE BRETAGNE "/>
    <s v="E+R"/>
    <d v="2026-08-07T00:00:00"/>
    <x v="0"/>
    <s v="LOKOA éditeur Abonnés v.31.07.26 (source).xlsx"/>
    <s v="OUALI SALWA"/>
  </r>
  <r>
    <n v="82082438100025"/>
    <s v="INOPROD SAS "/>
    <s v="E+R"/>
    <d v="2026-08-07T00:00:00"/>
    <x v="0"/>
    <s v="LOKOA éditeur Abonnés v.31.07.26 (source).xlsx"/>
    <s v="HMAM IKRAM"/>
  </r>
  <r>
    <n v="52963533600033"/>
    <s v="SAS INOPROD France "/>
    <s v="E+R"/>
    <d v="2026-08-07T00:00:00"/>
    <x v="0"/>
    <s v="LOKOA éditeur Abonnés v.31.07.26 (source).xlsx"/>
    <s v="HMAM IKRAM"/>
  </r>
  <r>
    <n v="82948031800023"/>
    <s v="SAS REDBERRY"/>
    <s v="E+R"/>
    <d v="2026-08-07T00:00:00"/>
    <x v="0"/>
    <s v="LOKOA éditeur Abonnés v.31.07.26 (source).xlsx"/>
    <s v="BOUFTIHA LAMIYAA"/>
  </r>
  <r>
    <n v="32909522800063"/>
    <s v="SASU EUROLAM "/>
    <s v="E+R"/>
    <d v="2026-08-07T00:00:00"/>
    <x v="0"/>
    <s v="LOKOA éditeur Abonnés v.31.07.26 (source).xlsx"/>
    <s v="BOUFTIHA LAMIYAA"/>
  </r>
  <r>
    <n v="80226024000022"/>
    <s v="SARL CP MENUISERIE"/>
    <s v="E+R"/>
    <d v="2026-08-07T00:00:00"/>
    <x v="0"/>
    <s v="LOKOA éditeur Abonnés v.31.07.26 (source).xlsx"/>
    <s v="ENNAJIH SALMA"/>
  </r>
  <r>
    <n v="38993529700033"/>
    <s v="SAS IWAKI"/>
    <s v="E+R"/>
    <d v="2026-08-07T00:00:00"/>
    <x v="0"/>
    <s v="LOKOA éditeur Abonnés v.31.07.26 (source).xlsx"/>
    <s v="ENNAJIH SALMA"/>
  </r>
  <r>
    <n v="78992005500017"/>
    <s v="SAS TAVANO BATIMENT "/>
    <s v="E+R "/>
    <d v="2026-08-07T00:00:00"/>
    <x v="0"/>
    <s v="LOKOA éditeur Abonnés v.31.07.26 (source).xlsx"/>
    <s v="ENNAJIH SALMA"/>
  </r>
  <r>
    <n v="89216717200014"/>
    <s v="LONGCH&amp;CO"/>
    <s v="E+R"/>
    <d v="2026-08-07T00:00:00"/>
    <x v="0"/>
    <s v="LOKOA éditeur Abonnés v.31.07.26 (source).xlsx"/>
    <s v="BARNASSO HAMZA"/>
  </r>
  <r>
    <n v="82304378100017"/>
    <s v="SARL HORIZON SOL "/>
    <s v="E+R"/>
    <d v="2026-08-07T00:00:00"/>
    <x v="0"/>
    <s v="LOKOA éditeur Abonnés v.31.07.26 (source).xlsx"/>
    <s v="BARNASSO HAMZA"/>
  </r>
  <r>
    <n v="91953084000025"/>
    <s v="BASEROLO"/>
    <s v="E+R"/>
    <d v="2026-08-07T00:00:00"/>
    <x v="0"/>
    <s v="LOKOA éditeur Abonnés v.31.07.26 (source).xlsx"/>
    <s v="NAKHLA AYA"/>
  </r>
  <r>
    <n v="69715004300027"/>
    <s v="SAS EBM BATIMENT "/>
    <s v="E+R"/>
    <d v="2026-08-07T00:00:00"/>
    <x v="0"/>
    <s v="LOKOA éditeur Abonnés v.31.07.26 (source).xlsx"/>
    <s v="NAKHLA AYA"/>
  </r>
  <r>
    <n v="90481478700019"/>
    <s v="SCI CRESCENDO"/>
    <s v="E+R"/>
    <d v="2026-08-07T00:00:00"/>
    <x v="0"/>
    <s v="LOKOA éditeur Abonnés v.31.07.26 (source).xlsx"/>
    <s v="MOULINE SALMA"/>
  </r>
  <r>
    <n v="93455056700010"/>
    <s v="SCI MULINO"/>
    <s v="E+R"/>
    <d v="2026-08-07T00:00:00"/>
    <x v="0"/>
    <s v="LOKOA éditeur Abonnés v.31.07.26 (source).xlsx"/>
    <s v="MOULINE SALMA"/>
  </r>
  <r>
    <n v="99317687400010"/>
    <s v="SCI MARMO "/>
    <s v="E+R"/>
    <d v="2026-08-07T00:00:00"/>
    <x v="0"/>
    <s v="LOKOA éditeur Abonnés v.31.07.26 (source).xlsx"/>
    <s v="MOULINE SALMA"/>
  </r>
  <r>
    <n v="41766776300052"/>
    <s v="CAPM EUROPE SA"/>
    <s v="E"/>
    <m/>
    <x v="1"/>
    <s v="CCLS v.27.07.2026"/>
    <s v="ALAMI-AROUSSI AHMED"/>
  </r>
  <r>
    <n v="34451758600055"/>
    <s v="CHARLES SERVICES"/>
    <s v="E"/>
    <m/>
    <x v="1"/>
    <s v="CCLS v.27.07.2026"/>
    <s v="ALAMI-AROUSSI AHMED"/>
  </r>
  <r>
    <n v="31789755100048"/>
    <s v="DOMINO"/>
    <s v="E"/>
    <m/>
    <x v="1"/>
    <s v="CCLS v.27.07.2026"/>
    <s v="ALAMI-AROUSSI AHMED"/>
  </r>
  <r>
    <n v="79937805400073"/>
    <s v="RESOSAFE"/>
    <s v="E"/>
    <m/>
    <x v="1"/>
    <s v="CCLS v.27.07.2026"/>
    <s v="ALAMI-AROUSSI AHMED"/>
  </r>
  <r>
    <n v="39047163900034"/>
    <s v="ROS DIGITAL 75"/>
    <s v="E"/>
    <m/>
    <x v="1"/>
    <s v="CCLS v.27.07.2026"/>
    <s v="ALAMI-AROUSSI AHMED"/>
  </r>
  <r>
    <n v="53113487200013"/>
    <s v="ROS DIGITAL 91"/>
    <s v="E"/>
    <m/>
    <x v="1"/>
    <s v="CCLS v.27.07.2026"/>
    <s v="ALAMI-AROUSSI AHMED"/>
  </r>
  <r>
    <n v="45197328300034"/>
    <s v="ROS DIGITAL IDF SUD"/>
    <s v="E"/>
    <m/>
    <x v="1"/>
    <s v="CCLS v.27.07.2026"/>
    <s v="ALAMI-AROUSSI AHMED"/>
  </r>
  <r>
    <n v="92069517800011"/>
    <s v="ROS DIGITAL SERVICES"/>
    <s v="E"/>
    <m/>
    <x v="1"/>
    <s v="CCLS v.27.07.2026"/>
    <s v="ALAMI-AROUSSI AHMED"/>
  </r>
  <r>
    <n v="33049524300025"/>
    <s v="STE AM2"/>
    <s v="E"/>
    <m/>
    <x v="1"/>
    <s v="CCLS v.27.07.2026"/>
    <s v="ALAMI-AROUSSI AHMED"/>
  </r>
  <r>
    <n v="42140281900039"/>
    <s v="TAURAND SERVICE MANUTENTION"/>
    <s v="E"/>
    <m/>
    <x v="1"/>
    <s v="CCLS v.27.07.2026"/>
    <s v="ALAMI-AROUSSI AHMED"/>
  </r>
  <r>
    <n v="34774750300030"/>
    <s v="VIDEOJET TECHNOLOGIES"/>
    <s v="E"/>
    <m/>
    <x v="1"/>
    <s v="CCLS v.27.07.2026"/>
    <s v="ALAMI-AROUSSI AHMED"/>
  </r>
  <r>
    <n v="53510510000023"/>
    <s v="ATELIER OLIVIER CHARNAY TELECOM"/>
    <s v="E"/>
    <m/>
    <x v="1"/>
    <s v="CCLS v.27.07.2026"/>
    <s v="ALAMI-AROUSSI AHMED"/>
  </r>
  <r>
    <n v="52320960900024"/>
    <s v="AU COMPTOIR DE LA CAISSE"/>
    <s v="E"/>
    <m/>
    <x v="1"/>
    <s v="CCLS v.27.07.2026"/>
    <s v="ALAMI-AROUSSI AHMED"/>
  </r>
  <r>
    <n v="52253424700013"/>
    <s v="AXIOR"/>
    <s v="E"/>
    <m/>
    <x v="1"/>
    <s v="CCLS v.27.07.2026"/>
    <s v="ALAMI-AROUSSI AHMED"/>
  </r>
  <r>
    <n v="50221609600045"/>
    <s v="AXSAONE"/>
    <s v="E"/>
    <m/>
    <x v="1"/>
    <s v="CCLS v.27.07.2026"/>
    <s v="ALAMI-AROUSSI AHMED"/>
  </r>
  <r>
    <n v="74981685600043"/>
    <s v="C2B INVESTISSEMENT"/>
    <s v="E"/>
    <m/>
    <x v="1"/>
    <s v="CCLS v.27.07.2026"/>
    <s v="OUALI SALWA"/>
  </r>
  <r>
    <n v="79417327800027"/>
    <s v="COMM PRO"/>
    <s v="E"/>
    <m/>
    <x v="1"/>
    <s v="CCLS v.27.07.2026"/>
    <s v="OUALI SALWA"/>
  </r>
  <r>
    <n v="47876369100035"/>
    <s v="DOCUMENT SOLUTIONS INFORMATIQUES"/>
    <s v="E"/>
    <m/>
    <x v="1"/>
    <s v="CCLS v.27.07.2026"/>
    <s v="OUALI SALWA"/>
  </r>
  <r>
    <n v="33025346900036"/>
    <s v="ENTREPRISE TELEPHONIQUE GENERALE"/>
    <s v="E"/>
    <m/>
    <x v="1"/>
    <s v="CCLS v.27.07.2026"/>
    <s v="OUALI SALWA"/>
  </r>
  <r>
    <n v="76120077300015"/>
    <s v="ETABLISSEMENTS TIFLEX"/>
    <s v="E"/>
    <m/>
    <x v="1"/>
    <s v="CCLS v.27.07.2026"/>
    <s v="OUALI SALWA"/>
  </r>
  <r>
    <n v="43821718400045"/>
    <s v="GILLES MOREL"/>
    <s v="E"/>
    <m/>
    <x v="1"/>
    <s v="CCLS v.27.07.2026"/>
    <s v="OUALI SALWA"/>
  </r>
  <r>
    <n v="40825713700047"/>
    <s v="HUBTEX FRANCE"/>
    <s v="E"/>
    <m/>
    <x v="1"/>
    <s v="CCLS v.27.07.2026"/>
    <s v="OUALI SALWA"/>
  </r>
  <r>
    <n v="44338869900037"/>
    <s v="MANUSTRA"/>
    <s v="E"/>
    <m/>
    <x v="1"/>
    <s v="CCLS v.27.07.2026"/>
    <s v="OUALI SALWA"/>
  </r>
  <r>
    <n v="31675497700023"/>
    <s v="MANUTENTION SERVICE"/>
    <s v="E"/>
    <m/>
    <x v="1"/>
    <s v="CCLS v.27.07.2026"/>
    <s v="OUALI SALWA"/>
  </r>
  <r>
    <n v="42126398900020"/>
    <s v="MS 42"/>
    <s v="E"/>
    <m/>
    <x v="1"/>
    <s v="CCLS v.27.07.2026"/>
    <s v="OUALI SALWA"/>
  </r>
  <r>
    <n v="35032902500042"/>
    <s v="ORGANIGAM BUREAUTIQUE"/>
    <s v="E"/>
    <m/>
    <x v="1"/>
    <s v="CCLS v.27.07.2026"/>
    <s v="OUALI SALWA"/>
  </r>
  <r>
    <n v="38335951001284"/>
    <s v="REX ROTARY CHAMBERY"/>
    <s v="E"/>
    <m/>
    <x v="1"/>
    <s v="CCLS v.27.07.2026"/>
    <s v="OUALI SALWA"/>
  </r>
  <r>
    <n v="35132272200064"/>
    <s v="RISO AIX EN PCE/MARSEILLE"/>
    <s v="E"/>
    <m/>
    <x v="1"/>
    <s v="CCLS v.27.07.2026"/>
    <s v="OUALI SALWA"/>
  </r>
  <r>
    <n v="35132272200064"/>
    <s v="RISO PARIS"/>
    <s v="E"/>
    <m/>
    <x v="1"/>
    <s v="CCLS v.27.07.2026"/>
    <s v="OUALI SALWA"/>
  </r>
  <r>
    <n v="38821746500045"/>
    <s v="SOGEMA"/>
    <s v="E"/>
    <m/>
    <x v="1"/>
    <s v="CCLS v.27.07.2026"/>
    <s v="HMAM IKRAM"/>
  </r>
  <r>
    <n v="30778703600051"/>
    <s v="SYBORD"/>
    <s v="E"/>
    <m/>
    <x v="1"/>
    <s v="CCLS v.27.07.2026"/>
    <s v="HMAM IKRAM"/>
  </r>
  <r>
    <n v="44348571900050"/>
    <s v="TERAMAT AUVERGNE"/>
    <s v="E"/>
    <m/>
    <x v="1"/>
    <s v="CCLS v.27.07.2026"/>
    <s v="HMAM IKRAM"/>
  </r>
  <r>
    <n v="79469851400039"/>
    <s v="YNOV IT SUD"/>
    <s v="E"/>
    <m/>
    <x v="1"/>
    <s v="CCLS v.27.07.2026"/>
    <s v="HMAM IKRAM"/>
  </r>
  <r>
    <n v="49360407800045"/>
    <s v="ACTEMIS"/>
    <s v="E"/>
    <m/>
    <x v="1"/>
    <s v="CCLS v.27.07.2026"/>
    <s v="HMAM IKRAM"/>
  </r>
  <r>
    <n v="49157149300023"/>
    <s v="AXENS"/>
    <s v="E"/>
    <m/>
    <x v="1"/>
    <s v="CCLS v.27.07.2026"/>
    <s v="HMAM IKRAM"/>
  </r>
  <r>
    <n v="49333463500106"/>
    <s v="B CONTACT DEVELOPPEMENT"/>
    <s v="E"/>
    <m/>
    <x v="1"/>
    <s v="CCLS v.27.07.2026"/>
    <s v="HMAM IKRAM"/>
  </r>
  <r>
    <n v="38423665900072"/>
    <s v="B CONTACT PROVENCE"/>
    <s v="E"/>
    <m/>
    <x v="1"/>
    <s v="CCLS v.27.07.2026"/>
    <s v="HMAM IKRAM"/>
  </r>
  <r>
    <n v="45314873600029"/>
    <s v="B2M"/>
    <s v="E"/>
    <m/>
    <x v="1"/>
    <s v="CCLS v.27.07.2026"/>
    <s v="HMAM IKRAM"/>
  </r>
  <r>
    <n v="37964940300035"/>
    <s v="COPIE CONFORME"/>
    <s v="E"/>
    <m/>
    <x v="1"/>
    <s v="CCLS v.27.07.2026"/>
    <s v="HMAM IKRAM"/>
  </r>
  <r>
    <n v="41473452500028"/>
    <s v="DATA BURO"/>
    <s v="E"/>
    <m/>
    <x v="1"/>
    <s v="CCLS v.27.07.2026"/>
    <s v="HMAM IKRAM"/>
  </r>
  <r>
    <n v="95750394900035"/>
    <s v="ELECTRO CALORIQUE"/>
    <s v="E"/>
    <m/>
    <x v="1"/>
    <s v="CCLS v.27.07.2026"/>
    <s v="HMAM IKRAM"/>
  </r>
  <r>
    <n v="38367918000026"/>
    <s v="G 2 A"/>
    <s v="E"/>
    <m/>
    <x v="1"/>
    <s v="CCLS v.27.07.2026"/>
    <s v="HMAM IKRAM"/>
  </r>
  <r>
    <n v="50125792700043"/>
    <s v="INPS GROUPE"/>
    <s v="E"/>
    <m/>
    <x v="1"/>
    <s v="CCLS v.27.07.2026"/>
    <s v="HMAM IKRAM"/>
  </r>
  <r>
    <n v="50947827700064"/>
    <s v="MARKEM-IMAJE SAS"/>
    <s v="E"/>
    <m/>
    <x v="1"/>
    <s v="CCLS v.27.07.2026"/>
    <s v="ENNAJIH SALMA"/>
  </r>
  <r>
    <n v="95680282100036"/>
    <s v="MODERNE D ORGANISATION DE BUREAU"/>
    <s v="E"/>
    <m/>
    <x v="1"/>
    <s v="CCLS v.27.07.2026"/>
    <s v="ENNAJIH SALMA"/>
  </r>
  <r>
    <n v="91020324900016"/>
    <s v="NEO OFFICE"/>
    <s v="E"/>
    <m/>
    <x v="1"/>
    <s v="CCLS v.27.07.2026"/>
    <s v="ENNAJIH SALMA"/>
  </r>
  <r>
    <n v="38335951001367"/>
    <s v="REX ROTARY"/>
    <s v="E"/>
    <m/>
    <x v="1"/>
    <s v="CCLS v.27.07.2026"/>
    <s v="ENNAJIH SALMA"/>
  </r>
  <r>
    <n v="32913278100033"/>
    <s v="SA GAI FRANCE"/>
    <s v="E"/>
    <m/>
    <x v="1"/>
    <s v="CCLS v.27.07.2026"/>
    <s v="ENNAJIH SALMA"/>
  </r>
  <r>
    <n v="80161144300012"/>
    <s v="SECURITAS TECHNOLOGIES"/>
    <s v="E"/>
    <m/>
    <x v="1"/>
    <s v="CCLS v.27.07.2026"/>
    <s v="ENNAJIH SALMA"/>
  </r>
  <r>
    <m/>
    <s v="SMB"/>
    <s v="E"/>
    <m/>
    <x v="1"/>
    <s v="CCLS v.27.07.2026"/>
    <s v="ENNAJIH SALMA"/>
  </r>
  <r>
    <n v="34265658400014"/>
    <s v="SOCIETE BIZON MATERIEL"/>
    <s v="E"/>
    <m/>
    <x v="1"/>
    <s v="CCLS v.27.07.2026"/>
    <s v="ENNAJIH SALMA"/>
  </r>
  <r>
    <n v="38179818000042"/>
    <s v="SRE"/>
    <s v="E"/>
    <m/>
    <x v="1"/>
    <s v="CCLS v.27.07.2026"/>
    <s v="ENNAJIH SALMA"/>
  </r>
  <r>
    <n v="80938416700064"/>
    <s v="SUDALPES SERVICES"/>
    <s v="E"/>
    <m/>
    <x v="1"/>
    <s v="CCLS v.27.07.2026"/>
    <s v="ENNAJIH SALMA"/>
  </r>
  <r>
    <n v="33009739500025"/>
    <s v="TCEM AGENCE AVIGNON"/>
    <s v="E"/>
    <m/>
    <x v="1"/>
    <s v="CCLS v.27.07.2026"/>
    <s v="ENNAJIH SALMA"/>
  </r>
  <r>
    <n v="33009739500025"/>
    <s v="TCEM AGENCE NICE"/>
    <s v="E"/>
    <m/>
    <x v="1"/>
    <s v="CCLS v.27.07.2026"/>
    <s v="ENNAJIH SALMA"/>
  </r>
  <r>
    <n v="33009739500025"/>
    <s v="TCEM AGENCE TOULON"/>
    <s v="E"/>
    <m/>
    <x v="1"/>
    <s v="CCLS v.27.07.2026"/>
    <s v="ENNAJIH SALMA"/>
  </r>
  <r>
    <n v="40229488800027"/>
    <s v="TERRACULTURE"/>
    <s v="E"/>
    <m/>
    <x v="1"/>
    <s v="CCLS v.27.07.2026"/>
    <s v="ENNAJIH SALMA"/>
  </r>
  <r>
    <n v="30738996500038"/>
    <s v="ALLIANCE BOIS MATERIEL"/>
    <s v="E"/>
    <m/>
    <x v="1"/>
    <s v="CCLS v.27.07.2026"/>
    <s v="ENNAJIH SALMA"/>
  </r>
  <r>
    <n v="48118401800044"/>
    <s v="BUROLOGIC"/>
    <s v="E"/>
    <m/>
    <x v="1"/>
    <s v="CCLS v.27.07.2026"/>
    <s v="NAKHLA AYA"/>
  </r>
  <r>
    <n v="42999261300050"/>
    <s v="BUROLOGIC 49"/>
    <s v="E"/>
    <m/>
    <x v="1"/>
    <s v="CCLS v.27.07.2026"/>
    <s v="NAKHLA AYA"/>
  </r>
  <r>
    <n v="94305988100012"/>
    <s v="BUROLOGIC 79"/>
    <s v="E"/>
    <m/>
    <x v="1"/>
    <s v="CCLS v.27.07.2026"/>
    <s v="NAKHLA AYA"/>
  </r>
  <r>
    <n v="37879953000050"/>
    <s v="BUROLOGIC 85"/>
    <s v="E"/>
    <m/>
    <x v="1"/>
    <s v="CCLS v.27.07.2026"/>
    <s v="NAKHLA AYA"/>
  </r>
  <r>
    <n v="34014010200039"/>
    <s v="CTV"/>
    <s v="E"/>
    <m/>
    <x v="1"/>
    <s v="CCLS v.27.07.2026"/>
    <s v="NAKHLA AYA"/>
  </r>
  <r>
    <n v="86050038800092"/>
    <s v="SIREN TELECOMS"/>
    <s v="E"/>
    <m/>
    <x v="1"/>
    <s v="CCLS v.27.07.2026"/>
    <s v="NAKHLA AYA"/>
  </r>
  <r>
    <n v="39936902400092"/>
    <s v="SOLSTIS"/>
    <s v="E"/>
    <m/>
    <x v="1"/>
    <s v="CCLS v.27.07.2026"/>
    <s v="NAKHLA AYA"/>
  </r>
  <r>
    <n v="39838211900020"/>
    <s v="SRB BLANCHARD"/>
    <s v="E"/>
    <m/>
    <x v="1"/>
    <s v="CCLS v.27.07.2026"/>
    <s v="NAKHLA AYA"/>
  </r>
  <r>
    <n v="38294005400069"/>
    <s v="STE VIENNE DOCUMENTIQUE"/>
    <s v="E"/>
    <m/>
    <x v="1"/>
    <s v="CCLS v.27.07.2026"/>
    <s v="NAKHLA AYA"/>
  </r>
  <r>
    <n v="33478205900177"/>
    <s v="TOSHIBA CENTRE GRAND OUEST BLOIS"/>
    <s v="E"/>
    <m/>
    <x v="1"/>
    <s v="CCLS v.27.07.2026"/>
    <s v="NAKHLA AYA"/>
  </r>
  <r>
    <n v="35188747600031"/>
    <s v="ALGAN-SIREC"/>
    <s v="E"/>
    <m/>
    <x v="1"/>
    <s v="CCLS v.27.07.2026"/>
    <s v="NAKHLA AYA"/>
  </r>
  <r>
    <n v="35244123200068"/>
    <s v="EKTOR"/>
    <s v="E"/>
    <m/>
    <x v="1"/>
    <s v="CCLS v.27.07.2026"/>
    <s v="NAKHLA AYA"/>
  </r>
  <r>
    <n v="38178971800065"/>
    <s v="REPROLAND"/>
    <s v="E"/>
    <m/>
    <x v="1"/>
    <s v="CCLS v.27.07.2026"/>
    <s v="NAKHLA AYA"/>
  </r>
  <r>
    <n v="37805349000058"/>
    <s v="SARL MAZOYER"/>
    <s v="E"/>
    <m/>
    <x v="1"/>
    <s v="CCLS v.27.07.2026"/>
    <s v="NAKHLA AYA"/>
  </r>
  <r>
    <n v="42492579000083"/>
    <s v="START SECURE 3%"/>
    <s v="E"/>
    <m/>
    <x v="1"/>
    <s v="CCLS v.27.07.2026"/>
    <s v="NAKHLA AYA"/>
  </r>
  <r>
    <n v="42492579000083"/>
    <s v="START SECURE 4,52%"/>
    <s v="E"/>
    <m/>
    <x v="1"/>
    <s v="CCLS v.27.07.2026"/>
    <s v="MOULINE SALMA"/>
  </r>
  <r>
    <n v="42343997500016"/>
    <s v="BLANCHARD TP NORMANDIE"/>
    <s v="E"/>
    <m/>
    <x v="1"/>
    <s v="CCLS v.27.07.2026"/>
    <s v="MOULINE SALMA"/>
  </r>
  <r>
    <n v="31214052800018"/>
    <s v="DEMOLIN NORMANDIE"/>
    <s v="E"/>
    <m/>
    <x v="1"/>
    <s v="CCLS v.27.07.2026"/>
    <s v="MOULINE SALMA"/>
  </r>
  <r>
    <n v="45046145400016"/>
    <s v="LOUTZ CHARIOTS ELEVATEURS"/>
    <s v="E"/>
    <m/>
    <x v="1"/>
    <s v="CCLS v.27.07.2026"/>
    <s v="MOULINE SALMA"/>
  </r>
  <r>
    <n v="33533889300050"/>
    <s v="MANUCO SERVICES"/>
    <s v="E"/>
    <m/>
    <x v="1"/>
    <s v="CCLS v.27.07.2026"/>
    <s v="MOULINE SALMA"/>
  </r>
  <r>
    <n v="42101373100052"/>
    <s v="MASSELIN COMMUNICATION"/>
    <s v="E"/>
    <m/>
    <x v="1"/>
    <s v="CCLS v.27.07.2026"/>
    <s v="MOULINE SALMA"/>
  </r>
  <r>
    <n v="41455649800056"/>
    <s v="UNITED TELECOM ET TRAVAUX"/>
    <s v="E"/>
    <m/>
    <x v="1"/>
    <s v="CCLS v.27.07.2026"/>
    <s v="MOULINE SALMA"/>
  </r>
  <r>
    <n v="52792826100041"/>
    <s v="UNITED TELECOM OUEST"/>
    <s v="E"/>
    <m/>
    <x v="1"/>
    <s v="CCLS v.27.07.2026"/>
    <s v="MOULINE SALMA"/>
  </r>
  <r>
    <n v="45160142100063"/>
    <s v="ACCURAY EUROPE"/>
    <s v="E"/>
    <m/>
    <x v="1"/>
    <s v="CCLS v.27.07.2026"/>
    <s v="MOULINE SALMA"/>
  </r>
  <r>
    <n v="61203967700077"/>
    <s v="CANON MEDICAL PUBLIC"/>
    <s v="E"/>
    <m/>
    <x v="1"/>
    <s v="CCLS v.27.07.2026"/>
    <s v="MOULINE SALMA"/>
  </r>
  <r>
    <n v="61203967700077"/>
    <s v="CANON MEDICAL SYSTEMS FRANCE SAS"/>
    <s v="E"/>
    <m/>
    <x v="1"/>
    <s v="CCLS v.27.07.2026"/>
    <s v="MOULINE SALMA"/>
  </r>
  <r>
    <n v="80857462800042"/>
    <s v="CARDIO PRIVE"/>
    <s v="E"/>
    <m/>
    <x v="1"/>
    <s v="CCLS v.27.07.2026"/>
    <s v="MOULINE SALMA"/>
  </r>
  <r>
    <n v="80857462800042"/>
    <s v="CARDIO PUBLIC"/>
    <s v="E"/>
    <m/>
    <x v="1"/>
    <s v="CCLS v.27.07.2026"/>
    <s v="MOULINE SALMA"/>
  </r>
  <r>
    <n v="80857462800042"/>
    <s v="CT PRIVE"/>
    <s v="E"/>
    <m/>
    <x v="1"/>
    <s v="CCLS v.27.07.2026"/>
    <s v="MOULINE SALMA"/>
  </r>
  <r>
    <m/>
    <s v="ECHO CARDIO"/>
    <s v="E"/>
    <m/>
    <x v="1"/>
    <s v="CCLS v.27.07.2026"/>
    <s v="MOULINE SALMA"/>
  </r>
  <r>
    <n v="80857462800026"/>
    <s v="ECHO GYNECO"/>
    <s v="E"/>
    <m/>
    <x v="1"/>
    <s v="CCLS v.27.07.2026"/>
    <s v="MOULINE SALMA"/>
  </r>
  <r>
    <n v="42330516800100"/>
    <s v="ESAOTE MEDICAL"/>
    <s v="E"/>
    <m/>
    <x v="1"/>
    <s v="CCLS v.27.07.2026"/>
    <s v="LYACOUBI HOUDA"/>
  </r>
  <r>
    <n v="40993621800059"/>
    <s v="FILMS ACCESSOIRES SERVICES"/>
    <s v="E"/>
    <m/>
    <x v="1"/>
    <s v="CCLS v.27.07.2026"/>
    <s v="LYACOUBI HOUDA"/>
  </r>
  <r>
    <n v="40866344100082"/>
    <s v="FUJIFILM HEALTHCARE FRANCE SAS"/>
    <s v="E"/>
    <m/>
    <x v="1"/>
    <s v="CCLS v.27.07.2026"/>
    <s v="LYACOUBI HOUDA"/>
  </r>
  <r>
    <n v="80857462800042"/>
    <s v="GE HEALTHCARE EQUIPMENT FINANCE"/>
    <s v="E"/>
    <m/>
    <x v="1"/>
    <s v="CCLS v.27.07.2026"/>
    <s v="LYACOUBI HOUDA"/>
  </r>
  <r>
    <n v="80857462800034"/>
    <s v="GE HEF - ECHO RADIO"/>
    <s v="E"/>
    <m/>
    <x v="1"/>
    <s v="CCLS v.27.07.2026"/>
    <s v="LYACOUBI HOUDA"/>
  </r>
  <r>
    <m/>
    <s v="GE MEDICAL SYSTEM ULTRASOUND &amp;"/>
    <s v="E"/>
    <m/>
    <x v="1"/>
    <s v="CCLS v.27.07.2026"/>
    <s v="LYACOUBI HOUDA"/>
  </r>
  <r>
    <n v="31501335900155"/>
    <s v="GE MEDICAL SYSTEMS"/>
    <s v="E"/>
    <m/>
    <x v="1"/>
    <s v="CCLS v.27.07.2026"/>
    <s v="LYACOUBI HOUDA"/>
  </r>
  <r>
    <n v="80857462800042"/>
    <s v="IMAGING - CT PUBLIC"/>
    <s v="E"/>
    <m/>
    <x v="1"/>
    <s v="CCLS v.27.07.2026"/>
    <s v="LYACOUBI HOUDA"/>
  </r>
  <r>
    <n v="80857462800042"/>
    <s v="IMAGING - MI PUBLIC"/>
    <s v="E"/>
    <m/>
    <x v="1"/>
    <s v="CCLS v.27.07.2026"/>
    <s v="LYACOUBI HOUDA"/>
  </r>
  <r>
    <n v="80857462800042"/>
    <s v="IMAGING - MR PUBLIC"/>
    <s v="E"/>
    <m/>
    <x v="1"/>
    <s v="CCLS v.27.07.2026"/>
    <s v="LYACOUBI HOUDA"/>
  </r>
  <r>
    <n v="80857462800042"/>
    <s v="IMAGING MI PRIVE"/>
    <s v="E"/>
    <m/>
    <x v="1"/>
    <s v="CCLS v.27.07.2026"/>
    <s v="LYACOUBI HOUDA"/>
  </r>
  <r>
    <n v="80857462800442"/>
    <s v="MAMMOGRAPHIE PRIVE"/>
    <s v="E"/>
    <m/>
    <x v="1"/>
    <s v="CCLS v.27.07.2026"/>
    <s v="LYACOUBI HOUDA"/>
  </r>
  <r>
    <n v="80857462800342"/>
    <s v="MAMMOGRAPHIE PUBLIC"/>
    <s v="E"/>
    <m/>
    <x v="1"/>
    <s v="CCLS v.27.07.2026"/>
    <s v="LYACOUBI HOUDA"/>
  </r>
  <r>
    <n v="79899264000044"/>
    <s v=" SARL Unipersonnelle B2EB"/>
    <s v="E+R"/>
    <d v="2026-08-07T00:00:00"/>
    <x v="0"/>
    <s v="LOKOA éditeur Abonnés v.31.07.26 (source).xlsx"/>
    <s v="ZERZOURI LAMIAE"/>
  </r>
  <r>
    <n v="40266888300026"/>
    <s v="ASSOCIATION AERIAL "/>
    <s v="E+R"/>
    <d v="2026-08-07T00:00:00"/>
    <x v="0"/>
    <s v="LOKOA éditeur Abonnés v.31.07.26 (source).xlsx"/>
    <s v="ZERZOURI LAMIAE"/>
  </r>
  <r>
    <n v="38811449800032"/>
    <s v="ROI DE BRETAGNE "/>
    <s v="E+R"/>
    <d v="2026-08-07T00:00:00"/>
    <x v="0"/>
    <s v="LOKOA éditeur Abonnés v.31.07.26 (source).xlsx"/>
    <s v="ZERZOURI LAMIAE"/>
  </r>
  <r>
    <n v="82082438100025"/>
    <s v="INOPROD SAS "/>
    <s v="E+R"/>
    <d v="2026-08-07T00:00:00"/>
    <x v="0"/>
    <s v="LOKOA éditeur Abonnés v.31.07.26 (source).xlsx"/>
    <s v="ZERZOURI LAMIAE"/>
  </r>
  <r>
    <n v="52963533600033"/>
    <s v="SAS INOPROD France "/>
    <s v="E+R"/>
    <d v="2026-08-07T00:00:00"/>
    <x v="0"/>
    <s v="LOKOA éditeur Abonnés v.31.07.26 (source).xlsx"/>
    <s v="ZERZOURI LAMIAE"/>
  </r>
  <r>
    <n v="82948031800023"/>
    <s v="SAS REDBERRY"/>
    <s v="E+R"/>
    <d v="2026-08-07T00:00:00"/>
    <x v="0"/>
    <s v="LOKOA éditeur Abonnés v.31.07.26 (source).xlsx"/>
    <s v="ZERZOURI LAMIAE"/>
  </r>
  <r>
    <n v="32909522800063"/>
    <s v="SASU EUROLAM "/>
    <s v="E+R"/>
    <d v="2026-08-07T00:00:00"/>
    <x v="0"/>
    <s v="LOKOA éditeur Abonnés v.31.07.26 (source).xlsx"/>
    <s v="Amine"/>
  </r>
  <r>
    <n v="80226024000022"/>
    <s v="SARL CP MENUISERIE"/>
    <s v="E+R"/>
    <d v="2026-08-07T00:00:00"/>
    <x v="0"/>
    <s v="LOKOA éditeur Abonnés v.31.07.26 (source).xlsx"/>
    <s v="Amine"/>
  </r>
  <r>
    <n v="38993529700033"/>
    <s v="SAS IWAKI"/>
    <s v="E+R"/>
    <d v="2026-08-07T00:00:00"/>
    <x v="0"/>
    <s v="LOKOA éditeur Abonnés v.31.07.26 (source).xlsx"/>
    <s v="Amine"/>
  </r>
  <r>
    <n v="78992005500017"/>
    <s v="SAS TAVANO BATIMENT "/>
    <s v="E+R"/>
    <d v="2026-08-07T00:00:00"/>
    <x v="0"/>
    <s v="LOKOA éditeur Abonnés v.31.07.26 (source).xlsx"/>
    <s v="Amine"/>
  </r>
  <r>
    <n v="89216717200014"/>
    <s v="LONGCH&amp;CO"/>
    <s v="E+R"/>
    <d v="2026-08-07T00:00:00"/>
    <x v="0"/>
    <s v="LOKOA éditeur Abonnés v.31.07.26 (source).xlsx"/>
    <s v="Amine"/>
  </r>
  <r>
    <n v="82304378100017"/>
    <s v="SARL HORIZON SOL "/>
    <s v="E+R"/>
    <d v="2026-08-07T00:00:00"/>
    <x v="0"/>
    <s v="LOKOA éditeur Abonnés v.31.07.26 (source).xlsx"/>
    <s v="Amine"/>
  </r>
  <r>
    <n v="91953084000025"/>
    <s v="BASEROLO"/>
    <s v="E+R"/>
    <d v="2026-08-07T00:00:00"/>
    <x v="0"/>
    <s v="LOKOA éditeur Abonnés v.31.07.26 (source).xlsx"/>
    <s v="Amine"/>
  </r>
  <r>
    <n v="69715004300027"/>
    <s v="SAS EBM BATIMENT "/>
    <s v="E+R"/>
    <d v="2026-08-07T00:00:00"/>
    <x v="0"/>
    <s v="LOKOA éditeur Abonnés v.31.07.26 (source).xlsx"/>
    <s v="Amin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90481478700019"/>
    <x v="0"/>
    <s v="E+R"/>
    <d v="2026-08-07T00:00:00"/>
    <s v="IMP-20260806-104505-001"/>
    <s v="LOKOA éditeur Abonnés v.31.07.26 (source).xlsx"/>
  </r>
  <r>
    <n v="93455056700010"/>
    <x v="1"/>
    <s v="E+R"/>
    <d v="2026-08-07T00:00:00"/>
    <s v="IMP-20260806-104505-001"/>
    <s v="LOKOA éditeur Abonnés v.31.07.26 (source).xlsx"/>
  </r>
  <r>
    <n v="99317687400010"/>
    <x v="2"/>
    <s v="E+R"/>
    <d v="2026-08-07T00:00:00"/>
    <s v="IMP-20260806-104505-001"/>
    <s v="LOKOA éditeur Abonnés v.31.07.26 (source).xlsx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3FBA4-AF97-4B56-958A-485D30DD810B}" name="Tableau croisé dynamique1" cacheId="147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7" firstHeaderRow="1" firstDataRow="1" firstDataCol="1"/>
  <pivotFields count="6">
    <pivotField numFmtId="1" showAll="0"/>
    <pivotField axis="axisRow" dataField="1" showAll="0">
      <items count="18">
        <item m="1" x="7"/>
        <item m="1" x="15"/>
        <item m="1" x="13"/>
        <item m="1" x="8"/>
        <item m="1" x="11"/>
        <item m="1" x="9"/>
        <item m="1" x="4"/>
        <item m="1" x="6"/>
        <item m="1" x="10"/>
        <item m="1" x="5"/>
        <item m="1" x="14"/>
        <item m="1" x="3"/>
        <item m="1" x="16"/>
        <item m="1" x="12"/>
        <item x="0"/>
        <item x="2"/>
        <item x="1"/>
        <item t="default"/>
      </items>
    </pivotField>
    <pivotField showAll="0"/>
    <pivotField numFmtId="14" showAll="0"/>
    <pivotField showAll="0"/>
    <pivotField showAll="0"/>
  </pivotFields>
  <rowFields count="1">
    <field x="1"/>
  </rowFields>
  <rowItems count="4">
    <i>
      <x v="14"/>
    </i>
    <i>
      <x v="15"/>
    </i>
    <i>
      <x v="16"/>
    </i>
    <i t="grand">
      <x/>
    </i>
  </rowItems>
  <colItems count="1">
    <i/>
  </colItems>
  <dataFields count="1">
    <dataField name="Nombre de Raison social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1497EE-6B67-4352-AB92-7A70CF19FF04}" name="Tableau croisé dynamique5" cacheId="13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4">
  <location ref="P3:Q14" firstHeaderRow="1" firstDataRow="1" firstDataCol="1"/>
  <pivotFields count="12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dataField="1" showAll="0"/>
    <pivotField showAll="0">
      <items count="3">
        <item x="1"/>
        <item x="0"/>
        <item t="default"/>
      </items>
    </pivotField>
    <pivotField axis="axisRow" showAll="0">
      <items count="11">
        <item x="1"/>
        <item x="6"/>
        <item x="4"/>
        <item x="5"/>
        <item x="3"/>
        <item x="9"/>
        <item x="8"/>
        <item x="7"/>
        <item x="2"/>
        <item x="0"/>
        <item t="default"/>
      </items>
    </pivotField>
  </pivotFields>
  <rowFields count="1">
    <field x="1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 Import" fld="9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CC7A55-BF94-43B4-A701-C5ECF4B53E7F}" name="Tableau croisé dynamique2" cacheId="144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F3:G6" firstHeaderRow="1" firstDataRow="1" firstDataCol="1"/>
  <pivotFields count="7"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Nombre de ID Import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75522F-E709-4AFF-B728-8BF0CF83EB9E}" name="Tableau croisé dynamique4" cacheId="141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K3:L15" firstHeaderRow="1" firstDataRow="1" firstDataCol="1"/>
  <pivotFields count="1">
    <pivotField axis="axisRow" dataField="1" showAll="0">
      <items count="12">
        <item x="2"/>
        <item x="7"/>
        <item x="5"/>
        <item x="6"/>
        <item x="4"/>
        <item x="9"/>
        <item x="10"/>
        <item x="8"/>
        <item x="3"/>
        <item x="1"/>
        <item x="0"/>
        <item t="default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Nombre de Agen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0A9C1B-1C24-4D72-800F-176BCE9E0804}" name="Tableau croisé dynamique6" cacheId="13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5">
  <location ref="S3:T6" firstHeaderRow="1" firstDataRow="1" firstDataCol="1"/>
  <pivotFields count="12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Nombre de ID Import" fld="9" subtotal="count" baseField="0" baseItem="0"/>
  </dataFields>
  <chartFormats count="3">
    <chartFormat chart="1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95D68-0709-4654-AE40-6063731C222C}" name="Tableau croisé dynamique8" cacheId="13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Y3:AB15" firstHeaderRow="1" firstDataRow="2" firstDataCol="1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3">
        <item x="1"/>
        <item x="0"/>
        <item t="default"/>
      </items>
    </pivotField>
    <pivotField axis="axisRow" showAll="0">
      <items count="11">
        <item x="1"/>
        <item x="6"/>
        <item x="4"/>
        <item x="5"/>
        <item x="3"/>
        <item x="9"/>
        <item x="8"/>
        <item x="7"/>
        <item x="2"/>
        <item x="0"/>
        <item t="default"/>
      </items>
    </pivotField>
  </pivotFields>
  <rowFields count="1">
    <field x="1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0"/>
  </colFields>
  <colItems count="3">
    <i>
      <x/>
    </i>
    <i>
      <x v="1"/>
    </i>
    <i t="grand">
      <x/>
    </i>
  </colItems>
  <dataFields count="1">
    <dataField name="Nombre de ID Import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63900-4C4C-433A-80A8-C9FF465CCA74}" name="Tableau croisé dynamique7" cacheId="13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4">
  <location ref="V3:W6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  <pivotField showAll="0"/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Nombre de ID Import" fld="9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_de_facture" xr10:uid="{2EADB7E3-AAC8-4828-B7F5-815F99E7D1E3}" sourceName="Type de facture">
  <pivotTables>
    <pivotTable tabId="15" name="Tableau croisé dynamique5"/>
  </pivotTables>
  <data>
    <tabular pivotCacheId="1272283663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SP" xr10:uid="{4DC605F2-875E-4A49-BBF9-562AE03A7942}" sourceName="CSP">
  <pivotTables>
    <pivotTable tabId="15" name="Tableau croisé dynamique5"/>
  </pivotTables>
  <data>
    <tabular pivotCacheId="1272283663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ichier_source" xr10:uid="{8AA32385-258C-4FE5-A3E1-94760412A381}" sourceName="Fichier source">
  <pivotTables>
    <pivotTable tabId="15" name="Tableau croisé dynamique5"/>
  </pivotTables>
  <data>
    <tabular pivotCacheId="1272283663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nt" xr10:uid="{83C336FF-EC4E-48CC-8CC2-EE4E23AA75A1}" sourceName="Agent">
  <pivotTables>
    <pivotTable tabId="15" name="Tableau croisé dynamique5"/>
  </pivotTables>
  <data>
    <tabular pivotCacheId="1272283663">
      <items count="10">
        <i x="1" s="1"/>
        <i x="6" s="1"/>
        <i x="4" s="1"/>
        <i x="5" s="1"/>
        <i x="3" s="1"/>
        <i x="9" s="1"/>
        <i x="8" s="1"/>
        <i x="7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de facture" xr10:uid="{6DC3E681-A354-4CF1-AAEF-37FA22B48EC5}" cache="Segment_Type_de_facture" caption="Type de facture" rowHeight="241300"/>
  <slicer name="CSP" xr10:uid="{73A23A36-5C11-4249-8A49-3C8FAC240001}" cache="Segment_CSP" caption="CSP" rowHeight="241300"/>
  <slicer name="Fichier source" xr10:uid="{0E7FB242-312A-45D4-8169-3843E3CFDB73}" cache="Segment_Fichier_source" caption="Fichier source" rowHeight="241300"/>
  <slicer name="Agent" xr10:uid="{6D7A2686-44FD-43DB-B886-1921459D1B61}" cache="Segment_Agent" caption="Agent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661A4B-D486-488C-8714-B07D5DE4535B}" name="Affecter" displayName="Affecter" ref="A1:F4" totalsRowShown="0" headerRowDxfId="20">
  <autoFilter ref="A1:F4" xr:uid="{D8661A4B-D486-488C-8714-B07D5DE4535B}"/>
  <tableColumns count="6">
    <tableColumn id="1" xr3:uid="{B737DC2D-F61F-480E-BEED-43A6F50256E4}" name="SIRET" dataDxfId="19"/>
    <tableColumn id="2" xr3:uid="{36CE41CC-B6CF-4E2F-9782-109B190E3C12}" name="Raison sociale" dataDxfId="18"/>
    <tableColumn id="3" xr3:uid="{CF79A0E0-FFA1-4678-9EE0-64463884F140}" name="Type de facture"/>
    <tableColumn id="4" xr3:uid="{53E42325-F03D-4749-A26F-E6DF1DA1298A}" name="Date limite de traitement" dataDxfId="17"/>
    <tableColumn id="5" xr3:uid="{D5F8EF8B-0191-4F88-9941-5A67D0E833A1}" name="ID Import"/>
    <tableColumn id="6" xr3:uid="{FA9B5C57-B0F6-4E3E-BF2B-8B5323867BEA}" name="Fichier sour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233FE4-D47E-431C-A74F-30C03768EE48}" name="Tableau3" displayName="Tableau3" ref="A1:A12" totalsRowShown="0">
  <autoFilter ref="A1:A12" xr:uid="{FD233FE4-D47E-431C-A74F-30C03768EE48}"/>
  <tableColumns count="1">
    <tableColumn id="1" xr3:uid="{6C151402-0BDE-43F1-9B42-261E66EE7DA0}" name="Ag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4F51B4-031D-4566-9ABD-CB050F1EB12A}" name="Tableau4" displayName="Tableau4" ref="A1:G138" totalsRowShown="0" headerRowDxfId="16">
  <autoFilter ref="A1:G138" xr:uid="{4E4F51B4-031D-4566-9ABD-CB050F1EB12A}"/>
  <tableColumns count="7">
    <tableColumn id="1" xr3:uid="{6A6EA6D5-66A4-444B-B764-B2EB183513B1}" name="SIRET" dataDxfId="15"/>
    <tableColumn id="2" xr3:uid="{2F9FD979-2F40-4596-9B0E-47F8588E116A}" name="Raison sociale" dataDxfId="14"/>
    <tableColumn id="3" xr3:uid="{2067DCF7-00F4-4A98-8EAF-15C6216F1670}" name="Type de facture" dataDxfId="13"/>
    <tableColumn id="4" xr3:uid="{73471D0E-DD4C-46CC-84DA-5578899196E7}" name="Date limite de traitement"/>
    <tableColumn id="5" xr3:uid="{2EC96BF4-DFA9-49B8-AA02-A2210E6F367F}" name="ID Import"/>
    <tableColumn id="6" xr3:uid="{8C6D3273-F8E6-4771-97B2-BA63E84A4E8D}" name="Fichier source"/>
    <tableColumn id="7" xr3:uid="{F63B1106-DFBD-4F68-B612-9D250966836D}" name="Ag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3C41FB-3034-4B32-8344-44E053A0D824}" name="Tableau1" displayName="Tableau1" ref="A1:L124" totalsRowShown="0" headerRowDxfId="12" dataDxfId="11">
  <autoFilter ref="A1:L124" xr:uid="{3A3C41FB-3034-4B32-8344-44E053A0D824}"/>
  <tableColumns count="12">
    <tableColumn id="1" xr3:uid="{C0F770FE-E000-49A6-A9DB-6EA14AD5BBA9}" name="SIRET" dataDxfId="10"/>
    <tableColumn id="2" xr3:uid="{65899091-AB43-4AA5-A602-034115A64AC6}" name="Raison sociale" dataDxfId="9"/>
    <tableColumn id="3" xr3:uid="{059457B9-5EEA-4872-90A2-958B25C4B261}" name="Type de facture" dataDxfId="8"/>
    <tableColumn id="4" xr3:uid="{2935B246-53BE-4522-A1A6-6AC0E200EF31}" name="Date limite de traitement" dataDxfId="0"/>
    <tableColumn id="5" xr3:uid="{AD409402-EAC0-4127-BB82-BE6DF4675CF2}" name="N Abonne" dataDxfId="7"/>
    <tableColumn id="6" xr3:uid="{EDD52F02-1D05-479D-A033-0C186F058CFE}" name="IDT" dataDxfId="6"/>
    <tableColumn id="7" xr3:uid="{80FBDF16-D8FD-47B8-AC0D-974765439FAD}" name="MDP" dataDxfId="5"/>
    <tableColumn id="8" xr3:uid="{F9FEDFF9-FE1C-4B33-BBBE-164664CA7DBD}" name="Contrat BAD" dataDxfId="4"/>
    <tableColumn id="9" xr3:uid="{9F70687B-A434-4D14-8C3A-83C7EEAB80A9}" name="CSP" dataDxfId="3"/>
    <tableColumn id="10" xr3:uid="{E0C5881D-99D1-432B-B715-6ADBF362A16C}" name="ID Import" dataDxfId="2"/>
    <tableColumn id="11" xr3:uid="{EA6C6400-D8EE-496E-B0AC-A05AE558F14D}" name="Fichier source"/>
    <tableColumn id="12" xr3:uid="{25CF89B0-6A74-44FB-BABF-6889A85D40E6}" name="Age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9C13-89A1-492F-87C5-670EC79FC6A3}">
  <sheetPr codeName="Feuil4"/>
  <dimension ref="A1"/>
  <sheetViews>
    <sheetView showGridLines="0" workbookViewId="0">
      <selection activeCell="T33" sqref="T3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2BBEB-9F80-4657-90AA-E826D66AA250}">
  <sheetPr codeName="Feuil11"/>
  <dimension ref="A1"/>
  <sheetViews>
    <sheetView showGridLines="0" zoomScaleNormal="100" workbookViewId="0">
      <selection activeCell="S5" sqref="S5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20</xdr:col>
                <xdr:colOff>533400</xdr:colOff>
                <xdr:row>2</xdr:row>
                <xdr:rowOff>9525</xdr:rowOff>
              </from>
              <to>
                <xdr:col>23</xdr:col>
                <xdr:colOff>104775</xdr:colOff>
                <xdr:row>3</xdr:row>
                <xdr:rowOff>66675</xdr:rowOff>
              </to>
            </anchor>
          </controlPr>
        </control>
      </mc:Choice>
      <mc:Fallback>
        <control shapeId="11265" r:id="rId4" name="Label1"/>
      </mc:Fallback>
    </mc:AlternateContent>
  </control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D8A8D-15BE-483A-AAB2-964B28C6754C}">
  <sheetPr codeName="Feuil12"/>
  <dimension ref="A1:AB15"/>
  <sheetViews>
    <sheetView zoomScale="85" zoomScaleNormal="85" workbookViewId="0">
      <selection activeCell="B43" sqref="B43"/>
    </sheetView>
  </sheetViews>
  <sheetFormatPr baseColWidth="10" defaultRowHeight="15" x14ac:dyDescent="0.25"/>
  <cols>
    <col min="1" max="1" width="21.7109375" bestFit="1" customWidth="1"/>
    <col min="2" max="2" width="24.85546875" bestFit="1" customWidth="1"/>
    <col min="6" max="6" width="24.85546875" bestFit="1" customWidth="1"/>
    <col min="7" max="7" width="20.7109375" bestFit="1" customWidth="1"/>
    <col min="11" max="11" width="22.42578125" bestFit="1" customWidth="1"/>
    <col min="12" max="12" width="17.5703125" bestFit="1" customWidth="1"/>
    <col min="16" max="16" width="22.42578125" bestFit="1" customWidth="1"/>
    <col min="17" max="17" width="20.7109375" bestFit="1" customWidth="1"/>
    <col min="19" max="19" width="21.7109375" bestFit="1" customWidth="1"/>
    <col min="20" max="20" width="20.7109375" bestFit="1" customWidth="1"/>
    <col min="21" max="21" width="19.85546875" bestFit="1" customWidth="1"/>
    <col min="22" max="22" width="44.140625" bestFit="1" customWidth="1"/>
    <col min="23" max="23" width="20.7109375" bestFit="1" customWidth="1"/>
    <col min="24" max="24" width="19.85546875" bestFit="1" customWidth="1"/>
    <col min="25" max="25" width="22.42578125" bestFit="1" customWidth="1"/>
    <col min="26" max="26" width="24.7109375" bestFit="1" customWidth="1"/>
    <col min="27" max="27" width="45.42578125" bestFit="1" customWidth="1"/>
    <col min="28" max="28" width="13" bestFit="1" customWidth="1"/>
  </cols>
  <sheetData>
    <row r="1" spans="1:28" x14ac:dyDescent="0.25">
      <c r="A1" s="33" t="s">
        <v>377</v>
      </c>
      <c r="B1" s="33"/>
      <c r="C1" s="33"/>
      <c r="D1" s="33"/>
      <c r="F1" s="33" t="s">
        <v>378</v>
      </c>
      <c r="G1" s="33"/>
      <c r="H1" s="33"/>
      <c r="I1" s="33"/>
      <c r="K1" s="33" t="s">
        <v>3</v>
      </c>
      <c r="L1" s="33"/>
      <c r="M1" s="33"/>
      <c r="N1" s="33"/>
      <c r="P1" s="33" t="s">
        <v>104</v>
      </c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</row>
    <row r="3" spans="1:28" x14ac:dyDescent="0.25">
      <c r="A3" s="13" t="s">
        <v>98</v>
      </c>
      <c r="B3" t="s">
        <v>101</v>
      </c>
      <c r="D3">
        <f>GETPIVOTDATA("Raison sociale",$A$3)</f>
        <v>3</v>
      </c>
      <c r="F3" s="13" t="s">
        <v>98</v>
      </c>
      <c r="G3" t="s">
        <v>102</v>
      </c>
      <c r="I3">
        <f>GETPIVOTDATA("ID Import",$F$3)</f>
        <v>137</v>
      </c>
      <c r="K3" s="13" t="s">
        <v>98</v>
      </c>
      <c r="L3" t="s">
        <v>103</v>
      </c>
      <c r="N3">
        <f>GETPIVOTDATA("Agent",$K$3)</f>
        <v>11</v>
      </c>
      <c r="P3" s="13" t="s">
        <v>98</v>
      </c>
      <c r="Q3" t="s">
        <v>102</v>
      </c>
      <c r="S3" s="13" t="s">
        <v>98</v>
      </c>
      <c r="T3" t="s">
        <v>102</v>
      </c>
      <c r="V3" s="13" t="s">
        <v>98</v>
      </c>
      <c r="W3" t="s">
        <v>102</v>
      </c>
      <c r="Y3" s="13" t="s">
        <v>102</v>
      </c>
      <c r="Z3" s="13" t="s">
        <v>100</v>
      </c>
    </row>
    <row r="4" spans="1:28" x14ac:dyDescent="0.25">
      <c r="A4" s="14" t="s">
        <v>52</v>
      </c>
      <c r="B4" s="15">
        <v>1</v>
      </c>
      <c r="F4" s="14" t="s">
        <v>65</v>
      </c>
      <c r="G4" s="15">
        <v>35</v>
      </c>
      <c r="K4" s="14" t="s">
        <v>55</v>
      </c>
      <c r="L4" s="15">
        <v>1</v>
      </c>
      <c r="P4" s="14" t="s">
        <v>55</v>
      </c>
      <c r="Q4" s="15">
        <v>18</v>
      </c>
      <c r="S4" s="14" t="s">
        <v>375</v>
      </c>
      <c r="T4" s="15">
        <v>102</v>
      </c>
      <c r="V4" s="14" t="s">
        <v>376</v>
      </c>
      <c r="W4" s="15">
        <v>102</v>
      </c>
      <c r="Y4" s="13" t="s">
        <v>98</v>
      </c>
      <c r="Z4" t="s">
        <v>376</v>
      </c>
      <c r="AA4" t="s">
        <v>31</v>
      </c>
      <c r="AB4" t="s">
        <v>99</v>
      </c>
    </row>
    <row r="5" spans="1:28" x14ac:dyDescent="0.25">
      <c r="A5" s="14" t="s">
        <v>54</v>
      </c>
      <c r="B5" s="15">
        <v>1</v>
      </c>
      <c r="F5" s="14" t="s">
        <v>91</v>
      </c>
      <c r="G5" s="15">
        <v>102</v>
      </c>
      <c r="K5" s="14" t="s">
        <v>61</v>
      </c>
      <c r="L5" s="15">
        <v>1</v>
      </c>
      <c r="P5" s="14" t="s">
        <v>61</v>
      </c>
      <c r="Q5" s="15">
        <v>2</v>
      </c>
      <c r="S5" s="14" t="s">
        <v>33</v>
      </c>
      <c r="T5" s="15">
        <v>21</v>
      </c>
      <c r="V5" s="14" t="s">
        <v>31</v>
      </c>
      <c r="W5" s="15">
        <v>21</v>
      </c>
      <c r="Y5" s="14" t="s">
        <v>55</v>
      </c>
      <c r="Z5" s="15">
        <v>15</v>
      </c>
      <c r="AA5" s="15">
        <v>3</v>
      </c>
      <c r="AB5" s="15">
        <v>18</v>
      </c>
    </row>
    <row r="6" spans="1:28" x14ac:dyDescent="0.25">
      <c r="A6" s="14" t="s">
        <v>53</v>
      </c>
      <c r="B6" s="15">
        <v>1</v>
      </c>
      <c r="F6" s="14" t="s">
        <v>99</v>
      </c>
      <c r="G6" s="15">
        <v>137</v>
      </c>
      <c r="K6" s="14" t="s">
        <v>59</v>
      </c>
      <c r="L6" s="15">
        <v>1</v>
      </c>
      <c r="P6" s="14" t="s">
        <v>59</v>
      </c>
      <c r="Q6" s="15">
        <v>2</v>
      </c>
      <c r="S6" s="14" t="s">
        <v>99</v>
      </c>
      <c r="T6" s="15">
        <v>123</v>
      </c>
      <c r="V6" s="14" t="s">
        <v>99</v>
      </c>
      <c r="W6" s="15">
        <v>123</v>
      </c>
      <c r="Y6" s="14" t="s">
        <v>61</v>
      </c>
      <c r="Z6" s="15"/>
      <c r="AA6" s="15">
        <v>2</v>
      </c>
      <c r="AB6" s="15">
        <v>2</v>
      </c>
    </row>
    <row r="7" spans="1:28" x14ac:dyDescent="0.25">
      <c r="A7" s="14" t="s">
        <v>99</v>
      </c>
      <c r="B7" s="15">
        <v>3</v>
      </c>
      <c r="K7" s="14" t="s">
        <v>60</v>
      </c>
      <c r="L7" s="15">
        <v>1</v>
      </c>
      <c r="P7" s="14" t="s">
        <v>60</v>
      </c>
      <c r="Q7" s="15">
        <v>18</v>
      </c>
      <c r="Y7" s="14" t="s">
        <v>59</v>
      </c>
      <c r="Z7" s="15"/>
      <c r="AA7" s="15">
        <v>2</v>
      </c>
      <c r="AB7" s="15">
        <v>2</v>
      </c>
    </row>
    <row r="8" spans="1:28" x14ac:dyDescent="0.25">
      <c r="K8" s="14" t="s">
        <v>58</v>
      </c>
      <c r="L8" s="15">
        <v>1</v>
      </c>
      <c r="P8" s="14" t="s">
        <v>58</v>
      </c>
      <c r="Q8" s="15">
        <v>16</v>
      </c>
      <c r="Y8" s="14" t="s">
        <v>60</v>
      </c>
      <c r="Z8" s="15">
        <v>15</v>
      </c>
      <c r="AA8" s="15">
        <v>3</v>
      </c>
      <c r="AB8" s="15">
        <v>18</v>
      </c>
    </row>
    <row r="9" spans="1:28" x14ac:dyDescent="0.25">
      <c r="K9" s="14" t="s">
        <v>63</v>
      </c>
      <c r="L9" s="15">
        <v>1</v>
      </c>
      <c r="P9" s="14" t="s">
        <v>63</v>
      </c>
      <c r="Q9" s="15">
        <v>13</v>
      </c>
      <c r="Y9" s="14" t="s">
        <v>58</v>
      </c>
      <c r="Z9" s="15">
        <v>14</v>
      </c>
      <c r="AA9" s="15">
        <v>2</v>
      </c>
      <c r="AB9" s="15">
        <v>16</v>
      </c>
    </row>
    <row r="10" spans="1:28" x14ac:dyDescent="0.25">
      <c r="K10" s="14" t="s">
        <v>64</v>
      </c>
      <c r="L10" s="15">
        <v>1</v>
      </c>
      <c r="P10" s="14" t="s">
        <v>64</v>
      </c>
      <c r="Q10" s="15">
        <v>19</v>
      </c>
      <c r="Y10" s="14" t="s">
        <v>63</v>
      </c>
      <c r="Z10" s="15">
        <v>13</v>
      </c>
      <c r="AA10" s="15"/>
      <c r="AB10" s="15">
        <v>13</v>
      </c>
    </row>
    <row r="11" spans="1:28" x14ac:dyDescent="0.25">
      <c r="K11" s="14" t="s">
        <v>62</v>
      </c>
      <c r="L11" s="15">
        <v>1</v>
      </c>
      <c r="P11" s="14" t="s">
        <v>62</v>
      </c>
      <c r="Q11" s="15">
        <v>17</v>
      </c>
      <c r="Y11" s="14" t="s">
        <v>64</v>
      </c>
      <c r="Z11" s="15">
        <v>16</v>
      </c>
      <c r="AA11" s="15">
        <v>3</v>
      </c>
      <c r="AB11" s="15">
        <v>19</v>
      </c>
    </row>
    <row r="12" spans="1:28" x14ac:dyDescent="0.25">
      <c r="K12" s="14" t="s">
        <v>57</v>
      </c>
      <c r="L12" s="15">
        <v>1</v>
      </c>
      <c r="P12" s="14" t="s">
        <v>57</v>
      </c>
      <c r="Q12" s="15">
        <v>16</v>
      </c>
      <c r="Y12" s="14" t="s">
        <v>62</v>
      </c>
      <c r="Z12" s="15">
        <v>15</v>
      </c>
      <c r="AA12" s="15">
        <v>2</v>
      </c>
      <c r="AB12" s="15">
        <v>17</v>
      </c>
    </row>
    <row r="13" spans="1:28" x14ac:dyDescent="0.25">
      <c r="K13" s="14" t="s">
        <v>56</v>
      </c>
      <c r="L13" s="15">
        <v>1</v>
      </c>
      <c r="P13" s="14" t="s">
        <v>56</v>
      </c>
      <c r="Q13" s="15">
        <v>2</v>
      </c>
      <c r="Y13" s="14" t="s">
        <v>57</v>
      </c>
      <c r="Z13" s="15">
        <v>14</v>
      </c>
      <c r="AA13" s="15">
        <v>2</v>
      </c>
      <c r="AB13" s="15">
        <v>16</v>
      </c>
    </row>
    <row r="14" spans="1:28" x14ac:dyDescent="0.25">
      <c r="K14" s="14" t="s">
        <v>384</v>
      </c>
      <c r="L14" s="15">
        <v>1</v>
      </c>
      <c r="P14" s="14" t="s">
        <v>99</v>
      </c>
      <c r="Q14" s="15">
        <v>123</v>
      </c>
      <c r="Y14" s="14" t="s">
        <v>56</v>
      </c>
      <c r="Z14" s="15"/>
      <c r="AA14" s="15">
        <v>2</v>
      </c>
      <c r="AB14" s="15">
        <v>2</v>
      </c>
    </row>
    <row r="15" spans="1:28" x14ac:dyDescent="0.25">
      <c r="K15" s="14" t="s">
        <v>99</v>
      </c>
      <c r="L15" s="15">
        <v>11</v>
      </c>
      <c r="Y15" s="14" t="s">
        <v>99</v>
      </c>
      <c r="Z15" s="15">
        <v>102</v>
      </c>
      <c r="AA15" s="15">
        <v>21</v>
      </c>
      <c r="AB15" s="15">
        <v>123</v>
      </c>
    </row>
  </sheetData>
  <mergeCells count="4">
    <mergeCell ref="A1:D1"/>
    <mergeCell ref="F1:I1"/>
    <mergeCell ref="K1:N1"/>
    <mergeCell ref="P1:A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5ADB-A960-4244-886E-AB81868C5BC3}">
  <sheetPr codeName="Feuil1"/>
  <dimension ref="A1:F101"/>
  <sheetViews>
    <sheetView tabSelected="1" workbookViewId="0">
      <selection activeCell="F16" sqref="F16"/>
    </sheetView>
  </sheetViews>
  <sheetFormatPr baseColWidth="10" defaultColWidth="11.42578125" defaultRowHeight="15" x14ac:dyDescent="0.25"/>
  <cols>
    <col min="1" max="1" width="17.7109375" style="3" bestFit="1" customWidth="1"/>
    <col min="2" max="2" width="29.85546875" style="3" bestFit="1" customWidth="1"/>
    <col min="3" max="3" width="17" bestFit="1" customWidth="1"/>
    <col min="4" max="4" width="26.140625" bestFit="1" customWidth="1"/>
    <col min="5" max="5" width="23.85546875" bestFit="1" customWidth="1"/>
    <col min="6" max="6" width="44.140625" bestFit="1" customWidth="1"/>
  </cols>
  <sheetData>
    <row r="1" spans="1:6" x14ac:dyDescent="0.25">
      <c r="A1" s="2" t="s">
        <v>0</v>
      </c>
      <c r="B1" s="2" t="s">
        <v>22</v>
      </c>
      <c r="C1" s="1" t="s">
        <v>23</v>
      </c>
      <c r="D1" s="1" t="s">
        <v>24</v>
      </c>
      <c r="E1" s="1" t="s">
        <v>18</v>
      </c>
      <c r="F1" s="1" t="s">
        <v>25</v>
      </c>
    </row>
    <row r="2" spans="1:6" x14ac:dyDescent="0.25">
      <c r="A2" s="3">
        <v>90481478700019</v>
      </c>
      <c r="B2" s="3" t="s">
        <v>52</v>
      </c>
      <c r="C2" t="s">
        <v>33</v>
      </c>
      <c r="D2" s="5">
        <v>46241</v>
      </c>
      <c r="E2" t="s">
        <v>65</v>
      </c>
      <c r="F2" t="s">
        <v>31</v>
      </c>
    </row>
    <row r="3" spans="1:6" x14ac:dyDescent="0.25">
      <c r="A3" s="3">
        <v>93455056700010</v>
      </c>
      <c r="B3" s="3" t="s">
        <v>53</v>
      </c>
      <c r="C3" t="s">
        <v>33</v>
      </c>
      <c r="D3" s="5">
        <v>46241</v>
      </c>
      <c r="E3" t="s">
        <v>65</v>
      </c>
      <c r="F3" t="s">
        <v>31</v>
      </c>
    </row>
    <row r="4" spans="1:6" x14ac:dyDescent="0.25">
      <c r="A4" s="3">
        <v>99317687400010</v>
      </c>
      <c r="B4" s="3" t="s">
        <v>54</v>
      </c>
      <c r="C4" t="s">
        <v>33</v>
      </c>
      <c r="D4" s="5">
        <v>46241</v>
      </c>
      <c r="E4" t="s">
        <v>65</v>
      </c>
      <c r="F4" t="s">
        <v>31</v>
      </c>
    </row>
    <row r="70" spans="4:4" x14ac:dyDescent="0.25">
      <c r="D70" s="4"/>
    </row>
    <row r="71" spans="4:4" x14ac:dyDescent="0.25">
      <c r="D71" s="4"/>
    </row>
    <row r="72" spans="4:4" x14ac:dyDescent="0.25">
      <c r="D72" s="4"/>
    </row>
    <row r="73" spans="4:4" x14ac:dyDescent="0.25">
      <c r="D73" s="4"/>
    </row>
    <row r="74" spans="4:4" x14ac:dyDescent="0.25">
      <c r="D74" s="4"/>
    </row>
    <row r="75" spans="4:4" x14ac:dyDescent="0.25">
      <c r="D75" s="4"/>
    </row>
    <row r="76" spans="4:4" x14ac:dyDescent="0.25">
      <c r="D76" s="4"/>
    </row>
    <row r="77" spans="4:4" x14ac:dyDescent="0.25">
      <c r="D77" s="4"/>
    </row>
    <row r="78" spans="4:4" x14ac:dyDescent="0.25">
      <c r="D78" s="4"/>
    </row>
    <row r="79" spans="4:4" x14ac:dyDescent="0.25">
      <c r="D79" s="4"/>
    </row>
    <row r="80" spans="4:4" x14ac:dyDescent="0.25">
      <c r="D80" s="4"/>
    </row>
    <row r="81" spans="4:4" x14ac:dyDescent="0.25">
      <c r="D81" s="4"/>
    </row>
    <row r="82" spans="4:4" x14ac:dyDescent="0.25">
      <c r="D82" s="4"/>
    </row>
    <row r="83" spans="4:4" x14ac:dyDescent="0.25">
      <c r="D83" s="4"/>
    </row>
    <row r="84" spans="4:4" x14ac:dyDescent="0.25">
      <c r="D84" s="4"/>
    </row>
    <row r="85" spans="4:4" x14ac:dyDescent="0.25">
      <c r="D85" s="4"/>
    </row>
    <row r="86" spans="4:4" x14ac:dyDescent="0.25">
      <c r="D86" s="4"/>
    </row>
    <row r="87" spans="4:4" x14ac:dyDescent="0.25">
      <c r="D87" s="4"/>
    </row>
    <row r="88" spans="4:4" x14ac:dyDescent="0.25">
      <c r="D88" s="4"/>
    </row>
    <row r="89" spans="4:4" x14ac:dyDescent="0.25">
      <c r="D89" s="4"/>
    </row>
    <row r="90" spans="4:4" x14ac:dyDescent="0.25">
      <c r="D90" s="4"/>
    </row>
    <row r="91" spans="4:4" x14ac:dyDescent="0.25">
      <c r="D91" s="4"/>
    </row>
    <row r="92" spans="4:4" x14ac:dyDescent="0.25">
      <c r="D92" s="4"/>
    </row>
    <row r="93" spans="4:4" x14ac:dyDescent="0.25">
      <c r="D93" s="4"/>
    </row>
    <row r="94" spans="4:4" x14ac:dyDescent="0.25">
      <c r="D94" s="4"/>
    </row>
    <row r="95" spans="4:4" x14ac:dyDescent="0.25">
      <c r="D95" s="4"/>
    </row>
    <row r="96" spans="4:4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A54E5-C2A0-4AC5-966D-6031060DFA96}">
  <sheetPr codeName="Feuil2"/>
  <dimension ref="A1:A12"/>
  <sheetViews>
    <sheetView workbookViewId="0">
      <selection activeCell="D13" sqref="D13"/>
    </sheetView>
  </sheetViews>
  <sheetFormatPr baseColWidth="10" defaultColWidth="11.42578125" defaultRowHeight="15" x14ac:dyDescent="0.25"/>
  <cols>
    <col min="1" max="1" width="22.42578125" bestFit="1" customWidth="1"/>
  </cols>
  <sheetData>
    <row r="1" spans="1:1" x14ac:dyDescent="0.25">
      <c r="A1" t="s">
        <v>3</v>
      </c>
    </row>
    <row r="2" spans="1:1" x14ac:dyDescent="0.25">
      <c r="A2" t="s">
        <v>384</v>
      </c>
    </row>
    <row r="3" spans="1:1" x14ac:dyDescent="0.25">
      <c r="A3" t="s">
        <v>56</v>
      </c>
    </row>
    <row r="4" spans="1:1" x14ac:dyDescent="0.25">
      <c r="A4" t="s">
        <v>55</v>
      </c>
    </row>
    <row r="5" spans="1:1" x14ac:dyDescent="0.25">
      <c r="A5" t="s">
        <v>57</v>
      </c>
    </row>
    <row r="6" spans="1:1" x14ac:dyDescent="0.25">
      <c r="A6" t="s">
        <v>58</v>
      </c>
    </row>
    <row r="7" spans="1:1" x14ac:dyDescent="0.25">
      <c r="A7" t="s">
        <v>59</v>
      </c>
    </row>
    <row r="8" spans="1:1" x14ac:dyDescent="0.25">
      <c r="A8" t="s">
        <v>60</v>
      </c>
    </row>
    <row r="9" spans="1:1" x14ac:dyDescent="0.25">
      <c r="A9" t="s">
        <v>61</v>
      </c>
    </row>
    <row r="10" spans="1:1" x14ac:dyDescent="0.25">
      <c r="A10" t="s">
        <v>62</v>
      </c>
    </row>
    <row r="11" spans="1:1" x14ac:dyDescent="0.25">
      <c r="A11" t="s">
        <v>63</v>
      </c>
    </row>
    <row r="12" spans="1:1" x14ac:dyDescent="0.25">
      <c r="A12" t="s">
        <v>64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04BBA-ED38-410E-94E4-34398A4A3E43}">
  <sheetPr codeName="Feuil3"/>
  <dimension ref="A1:G138"/>
  <sheetViews>
    <sheetView workbookViewId="0">
      <selection activeCell="D114" sqref="D114"/>
    </sheetView>
  </sheetViews>
  <sheetFormatPr baseColWidth="10" defaultColWidth="11.42578125" defaultRowHeight="15" x14ac:dyDescent="0.25"/>
  <cols>
    <col min="1" max="1" width="17.7109375" style="3" bestFit="1" customWidth="1"/>
    <col min="2" max="2" width="49.7109375" bestFit="1" customWidth="1"/>
    <col min="3" max="3" width="16.85546875" customWidth="1"/>
    <col min="4" max="4" width="25.7109375" customWidth="1"/>
    <col min="5" max="5" width="23.85546875" bestFit="1" customWidth="1"/>
    <col min="6" max="6" width="44.140625" bestFit="1" customWidth="1"/>
    <col min="7" max="7" width="22.85546875" bestFit="1" customWidth="1"/>
  </cols>
  <sheetData>
    <row r="1" spans="1:7" x14ac:dyDescent="0.25">
      <c r="A1" s="2" t="s">
        <v>0</v>
      </c>
      <c r="B1" s="1" t="s">
        <v>22</v>
      </c>
      <c r="C1" s="1" t="s">
        <v>23</v>
      </c>
      <c r="D1" s="1" t="s">
        <v>24</v>
      </c>
      <c r="E1" s="1" t="s">
        <v>18</v>
      </c>
      <c r="F1" s="1" t="s">
        <v>25</v>
      </c>
      <c r="G1" s="1" t="s">
        <v>3</v>
      </c>
    </row>
    <row r="2" spans="1:7" x14ac:dyDescent="0.25">
      <c r="A2" s="7">
        <v>41966458600031</v>
      </c>
      <c r="B2" s="8" t="s">
        <v>32</v>
      </c>
      <c r="C2" s="8" t="s">
        <v>33</v>
      </c>
      <c r="D2" s="9">
        <v>46241</v>
      </c>
      <c r="E2" t="s">
        <v>65</v>
      </c>
      <c r="F2" t="s">
        <v>31</v>
      </c>
      <c r="G2" t="s">
        <v>55</v>
      </c>
    </row>
    <row r="3" spans="1:7" x14ac:dyDescent="0.25">
      <c r="A3" s="7">
        <v>32265981400048</v>
      </c>
      <c r="B3" s="8" t="s">
        <v>34</v>
      </c>
      <c r="C3" s="8" t="s">
        <v>33</v>
      </c>
      <c r="D3" s="9">
        <v>46241</v>
      </c>
      <c r="E3" t="s">
        <v>65</v>
      </c>
      <c r="F3" t="s">
        <v>31</v>
      </c>
      <c r="G3" t="s">
        <v>56</v>
      </c>
    </row>
    <row r="4" spans="1:7" x14ac:dyDescent="0.25">
      <c r="A4" s="7">
        <v>90531113000017</v>
      </c>
      <c r="B4" s="8" t="s">
        <v>35</v>
      </c>
      <c r="C4" s="8" t="s">
        <v>33</v>
      </c>
      <c r="D4" s="9">
        <v>46241</v>
      </c>
      <c r="E4" t="s">
        <v>65</v>
      </c>
      <c r="F4" t="s">
        <v>31</v>
      </c>
      <c r="G4" t="s">
        <v>55</v>
      </c>
    </row>
    <row r="5" spans="1:7" x14ac:dyDescent="0.25">
      <c r="A5" s="7">
        <v>53533279500058</v>
      </c>
      <c r="B5" s="8" t="s">
        <v>36</v>
      </c>
      <c r="C5" s="8" t="s">
        <v>33</v>
      </c>
      <c r="D5" s="9">
        <v>46241</v>
      </c>
      <c r="E5" t="s">
        <v>65</v>
      </c>
      <c r="F5" t="s">
        <v>31</v>
      </c>
      <c r="G5" t="s">
        <v>55</v>
      </c>
    </row>
    <row r="6" spans="1:7" x14ac:dyDescent="0.25">
      <c r="A6" s="7">
        <v>79899264000044</v>
      </c>
      <c r="B6" s="8" t="s">
        <v>37</v>
      </c>
      <c r="C6" s="8" t="s">
        <v>33</v>
      </c>
      <c r="D6" s="9">
        <v>46241</v>
      </c>
      <c r="E6" t="s">
        <v>65</v>
      </c>
      <c r="F6" t="s">
        <v>31</v>
      </c>
      <c r="G6" t="s">
        <v>55</v>
      </c>
    </row>
    <row r="7" spans="1:7" x14ac:dyDescent="0.25">
      <c r="A7" s="7">
        <v>40266888300026</v>
      </c>
      <c r="B7" s="8" t="s">
        <v>38</v>
      </c>
      <c r="C7" s="8" t="s">
        <v>33</v>
      </c>
      <c r="D7" s="9">
        <v>46241</v>
      </c>
      <c r="E7" t="s">
        <v>65</v>
      </c>
      <c r="F7" t="s">
        <v>31</v>
      </c>
      <c r="G7" t="s">
        <v>57</v>
      </c>
    </row>
    <row r="8" spans="1:7" x14ac:dyDescent="0.25">
      <c r="A8" s="7">
        <v>38811449800032</v>
      </c>
      <c r="B8" s="8" t="s">
        <v>39</v>
      </c>
      <c r="C8" s="8" t="s">
        <v>33</v>
      </c>
      <c r="D8" s="10">
        <v>46241</v>
      </c>
      <c r="E8" t="s">
        <v>65</v>
      </c>
      <c r="F8" t="s">
        <v>31</v>
      </c>
      <c r="G8" t="s">
        <v>57</v>
      </c>
    </row>
    <row r="9" spans="1:7" x14ac:dyDescent="0.25">
      <c r="A9" s="7">
        <v>82082438100025</v>
      </c>
      <c r="B9" s="8" t="s">
        <v>40</v>
      </c>
      <c r="C9" s="8" t="s">
        <v>33</v>
      </c>
      <c r="D9" s="9">
        <v>46241</v>
      </c>
      <c r="E9" t="s">
        <v>65</v>
      </c>
      <c r="F9" t="s">
        <v>31</v>
      </c>
      <c r="G9" t="s">
        <v>58</v>
      </c>
    </row>
    <row r="10" spans="1:7" x14ac:dyDescent="0.25">
      <c r="A10" s="7">
        <v>52963533600033</v>
      </c>
      <c r="B10" s="8" t="s">
        <v>41</v>
      </c>
      <c r="C10" s="8" t="s">
        <v>33</v>
      </c>
      <c r="D10" s="9">
        <v>46241</v>
      </c>
      <c r="E10" t="s">
        <v>65</v>
      </c>
      <c r="F10" t="s">
        <v>31</v>
      </c>
      <c r="G10" t="s">
        <v>58</v>
      </c>
    </row>
    <row r="11" spans="1:7" x14ac:dyDescent="0.25">
      <c r="A11" s="7">
        <v>82948031800023</v>
      </c>
      <c r="B11" s="8" t="s">
        <v>42</v>
      </c>
      <c r="C11" s="8" t="s">
        <v>33</v>
      </c>
      <c r="D11" s="9">
        <v>46241</v>
      </c>
      <c r="E11" t="s">
        <v>65</v>
      </c>
      <c r="F11" t="s">
        <v>31</v>
      </c>
      <c r="G11" t="s">
        <v>59</v>
      </c>
    </row>
    <row r="12" spans="1:7" x14ac:dyDescent="0.25">
      <c r="A12" s="7">
        <v>32909522800063</v>
      </c>
      <c r="B12" s="8" t="s">
        <v>43</v>
      </c>
      <c r="C12" s="8" t="s">
        <v>33</v>
      </c>
      <c r="D12" s="9">
        <v>46241</v>
      </c>
      <c r="E12" t="s">
        <v>65</v>
      </c>
      <c r="F12" t="s">
        <v>31</v>
      </c>
      <c r="G12" t="s">
        <v>59</v>
      </c>
    </row>
    <row r="13" spans="1:7" x14ac:dyDescent="0.25">
      <c r="A13" s="7">
        <v>80226024000022</v>
      </c>
      <c r="B13" s="8" t="s">
        <v>44</v>
      </c>
      <c r="C13" s="8" t="s">
        <v>33</v>
      </c>
      <c r="D13" s="9">
        <v>46241</v>
      </c>
      <c r="E13" t="s">
        <v>65</v>
      </c>
      <c r="F13" t="s">
        <v>31</v>
      </c>
      <c r="G13" t="s">
        <v>60</v>
      </c>
    </row>
    <row r="14" spans="1:7" x14ac:dyDescent="0.25">
      <c r="A14" s="7">
        <v>38993529700033</v>
      </c>
      <c r="B14" s="8" t="s">
        <v>45</v>
      </c>
      <c r="C14" s="8" t="s">
        <v>33</v>
      </c>
      <c r="D14" s="9">
        <v>46241</v>
      </c>
      <c r="E14" t="s">
        <v>65</v>
      </c>
      <c r="F14" t="s">
        <v>31</v>
      </c>
      <c r="G14" t="s">
        <v>60</v>
      </c>
    </row>
    <row r="15" spans="1:7" x14ac:dyDescent="0.25">
      <c r="A15" s="7">
        <v>78992005500017</v>
      </c>
      <c r="B15" s="8" t="s">
        <v>46</v>
      </c>
      <c r="C15" s="8" t="s">
        <v>47</v>
      </c>
      <c r="D15" s="9">
        <v>46241</v>
      </c>
      <c r="E15" t="s">
        <v>65</v>
      </c>
      <c r="F15" t="s">
        <v>31</v>
      </c>
      <c r="G15" t="s">
        <v>60</v>
      </c>
    </row>
    <row r="16" spans="1:7" x14ac:dyDescent="0.25">
      <c r="A16" s="7">
        <v>89216717200014</v>
      </c>
      <c r="B16" s="8" t="s">
        <v>48</v>
      </c>
      <c r="C16" s="8" t="s">
        <v>33</v>
      </c>
      <c r="D16" s="9">
        <v>46241</v>
      </c>
      <c r="E16" t="s">
        <v>65</v>
      </c>
      <c r="F16" t="s">
        <v>31</v>
      </c>
      <c r="G16" t="s">
        <v>61</v>
      </c>
    </row>
    <row r="17" spans="1:7" x14ac:dyDescent="0.25">
      <c r="A17" s="7">
        <v>82304378100017</v>
      </c>
      <c r="B17" s="8" t="s">
        <v>49</v>
      </c>
      <c r="C17" s="8" t="s">
        <v>33</v>
      </c>
      <c r="D17" s="9">
        <v>46241</v>
      </c>
      <c r="E17" t="s">
        <v>65</v>
      </c>
      <c r="F17" t="s">
        <v>31</v>
      </c>
      <c r="G17" t="s">
        <v>61</v>
      </c>
    </row>
    <row r="18" spans="1:7" x14ac:dyDescent="0.25">
      <c r="A18" s="7">
        <v>91953084000025</v>
      </c>
      <c r="B18" s="8" t="s">
        <v>50</v>
      </c>
      <c r="C18" s="8" t="s">
        <v>33</v>
      </c>
      <c r="D18" s="9">
        <v>46241</v>
      </c>
      <c r="E18" t="s">
        <v>65</v>
      </c>
      <c r="F18" t="s">
        <v>31</v>
      </c>
      <c r="G18" t="s">
        <v>62</v>
      </c>
    </row>
    <row r="19" spans="1:7" x14ac:dyDescent="0.25">
      <c r="A19" s="7">
        <v>69715004300027</v>
      </c>
      <c r="B19" s="8" t="s">
        <v>51</v>
      </c>
      <c r="C19" s="8" t="s">
        <v>33</v>
      </c>
      <c r="D19" s="9">
        <v>46241</v>
      </c>
      <c r="E19" t="s">
        <v>65</v>
      </c>
      <c r="F19" t="s">
        <v>31</v>
      </c>
      <c r="G19" t="s">
        <v>62</v>
      </c>
    </row>
    <row r="20" spans="1:7" x14ac:dyDescent="0.25">
      <c r="A20" s="7">
        <v>90481478700019</v>
      </c>
      <c r="B20" s="8" t="s">
        <v>52</v>
      </c>
      <c r="C20" s="8" t="s">
        <v>33</v>
      </c>
      <c r="D20" s="9">
        <v>46241</v>
      </c>
      <c r="E20" t="s">
        <v>65</v>
      </c>
      <c r="F20" t="s">
        <v>31</v>
      </c>
      <c r="G20" t="s">
        <v>64</v>
      </c>
    </row>
    <row r="21" spans="1:7" x14ac:dyDescent="0.25">
      <c r="A21" s="7">
        <v>93455056700010</v>
      </c>
      <c r="B21" s="8" t="s">
        <v>53</v>
      </c>
      <c r="C21" s="8" t="s">
        <v>33</v>
      </c>
      <c r="D21" s="9">
        <v>46241</v>
      </c>
      <c r="E21" t="s">
        <v>65</v>
      </c>
      <c r="F21" t="s">
        <v>31</v>
      </c>
      <c r="G21" t="s">
        <v>64</v>
      </c>
    </row>
    <row r="22" spans="1:7" x14ac:dyDescent="0.25">
      <c r="A22" s="7">
        <v>99317687400010</v>
      </c>
      <c r="B22" s="8" t="s">
        <v>54</v>
      </c>
      <c r="C22" s="8" t="s">
        <v>33</v>
      </c>
      <c r="D22" s="12">
        <v>46241</v>
      </c>
      <c r="E22" t="s">
        <v>65</v>
      </c>
      <c r="F22" t="s">
        <v>31</v>
      </c>
      <c r="G22" t="s">
        <v>64</v>
      </c>
    </row>
    <row r="23" spans="1:7" x14ac:dyDescent="0.25">
      <c r="A23" s="19">
        <v>41766776300052</v>
      </c>
      <c r="B23" s="16" t="s">
        <v>105</v>
      </c>
      <c r="C23" s="27" t="s">
        <v>375</v>
      </c>
      <c r="E23" t="s">
        <v>91</v>
      </c>
      <c r="F23" t="s">
        <v>376</v>
      </c>
      <c r="G23" t="s">
        <v>55</v>
      </c>
    </row>
    <row r="24" spans="1:7" x14ac:dyDescent="0.25">
      <c r="A24" s="19">
        <v>34451758600055</v>
      </c>
      <c r="B24" s="16" t="s">
        <v>106</v>
      </c>
      <c r="C24" s="27" t="s">
        <v>375</v>
      </c>
      <c r="E24" t="s">
        <v>91</v>
      </c>
      <c r="F24" t="s">
        <v>376</v>
      </c>
      <c r="G24" t="s">
        <v>55</v>
      </c>
    </row>
    <row r="25" spans="1:7" x14ac:dyDescent="0.25">
      <c r="A25" s="19">
        <v>31789755100048</v>
      </c>
      <c r="B25" s="16" t="s">
        <v>107</v>
      </c>
      <c r="C25" s="27" t="s">
        <v>375</v>
      </c>
      <c r="E25" t="s">
        <v>91</v>
      </c>
      <c r="F25" t="s">
        <v>376</v>
      </c>
      <c r="G25" t="s">
        <v>55</v>
      </c>
    </row>
    <row r="26" spans="1:7" x14ac:dyDescent="0.25">
      <c r="A26" s="19">
        <v>79937805400073</v>
      </c>
      <c r="B26" s="16" t="s">
        <v>108</v>
      </c>
      <c r="C26" s="27" t="s">
        <v>375</v>
      </c>
      <c r="E26" t="s">
        <v>91</v>
      </c>
      <c r="F26" t="s">
        <v>376</v>
      </c>
      <c r="G26" t="s">
        <v>55</v>
      </c>
    </row>
    <row r="27" spans="1:7" x14ac:dyDescent="0.25">
      <c r="A27" s="19">
        <v>39047163900034</v>
      </c>
      <c r="B27" s="16" t="s">
        <v>109</v>
      </c>
      <c r="C27" s="27" t="s">
        <v>375</v>
      </c>
      <c r="E27" t="s">
        <v>91</v>
      </c>
      <c r="F27" t="s">
        <v>376</v>
      </c>
      <c r="G27" t="s">
        <v>55</v>
      </c>
    </row>
    <row r="28" spans="1:7" x14ac:dyDescent="0.25">
      <c r="A28" s="19">
        <v>53113487200013</v>
      </c>
      <c r="B28" s="16" t="s">
        <v>110</v>
      </c>
      <c r="C28" s="27" t="s">
        <v>375</v>
      </c>
      <c r="E28" t="s">
        <v>91</v>
      </c>
      <c r="F28" t="s">
        <v>376</v>
      </c>
      <c r="G28" t="s">
        <v>55</v>
      </c>
    </row>
    <row r="29" spans="1:7" x14ac:dyDescent="0.25">
      <c r="A29" s="19">
        <v>45197328300034</v>
      </c>
      <c r="B29" s="16" t="s">
        <v>111</v>
      </c>
      <c r="C29" s="27" t="s">
        <v>375</v>
      </c>
      <c r="E29" t="s">
        <v>91</v>
      </c>
      <c r="F29" t="s">
        <v>376</v>
      </c>
      <c r="G29" t="s">
        <v>55</v>
      </c>
    </row>
    <row r="30" spans="1:7" x14ac:dyDescent="0.25">
      <c r="A30" s="19">
        <v>92069517800011</v>
      </c>
      <c r="B30" s="16" t="s">
        <v>112</v>
      </c>
      <c r="C30" s="27" t="s">
        <v>375</v>
      </c>
      <c r="E30" t="s">
        <v>91</v>
      </c>
      <c r="F30" t="s">
        <v>376</v>
      </c>
      <c r="G30" t="s">
        <v>55</v>
      </c>
    </row>
    <row r="31" spans="1:7" x14ac:dyDescent="0.25">
      <c r="A31" s="19">
        <v>33049524300025</v>
      </c>
      <c r="B31" s="16" t="s">
        <v>113</v>
      </c>
      <c r="C31" s="27" t="s">
        <v>375</v>
      </c>
      <c r="E31" t="s">
        <v>91</v>
      </c>
      <c r="F31" t="s">
        <v>376</v>
      </c>
      <c r="G31" t="s">
        <v>55</v>
      </c>
    </row>
    <row r="32" spans="1:7" x14ac:dyDescent="0.25">
      <c r="A32" s="19">
        <v>42140281900039</v>
      </c>
      <c r="B32" s="16" t="s">
        <v>114</v>
      </c>
      <c r="C32" s="27" t="s">
        <v>375</v>
      </c>
      <c r="E32" t="s">
        <v>91</v>
      </c>
      <c r="F32" t="s">
        <v>376</v>
      </c>
      <c r="G32" t="s">
        <v>55</v>
      </c>
    </row>
    <row r="33" spans="1:7" x14ac:dyDescent="0.25">
      <c r="A33" s="19">
        <v>34774750300030</v>
      </c>
      <c r="B33" s="16" t="s">
        <v>115</v>
      </c>
      <c r="C33" s="27" t="s">
        <v>375</v>
      </c>
      <c r="E33" t="s">
        <v>91</v>
      </c>
      <c r="F33" t="s">
        <v>376</v>
      </c>
      <c r="G33" t="s">
        <v>55</v>
      </c>
    </row>
    <row r="34" spans="1:7" x14ac:dyDescent="0.25">
      <c r="A34" s="19">
        <v>53510510000023</v>
      </c>
      <c r="B34" s="16" t="s">
        <v>116</v>
      </c>
      <c r="C34" s="27" t="s">
        <v>375</v>
      </c>
      <c r="E34" t="s">
        <v>91</v>
      </c>
      <c r="F34" t="s">
        <v>376</v>
      </c>
      <c r="G34" t="s">
        <v>55</v>
      </c>
    </row>
    <row r="35" spans="1:7" x14ac:dyDescent="0.25">
      <c r="A35" s="19">
        <v>52320960900024</v>
      </c>
      <c r="B35" s="16" t="s">
        <v>117</v>
      </c>
      <c r="C35" s="27" t="s">
        <v>375</v>
      </c>
      <c r="E35" t="s">
        <v>91</v>
      </c>
      <c r="F35" t="s">
        <v>376</v>
      </c>
      <c r="G35" t="s">
        <v>55</v>
      </c>
    </row>
    <row r="36" spans="1:7" x14ac:dyDescent="0.25">
      <c r="A36" s="19">
        <v>52253424700013</v>
      </c>
      <c r="B36" s="16" t="s">
        <v>118</v>
      </c>
      <c r="C36" s="27" t="s">
        <v>375</v>
      </c>
      <c r="E36" t="s">
        <v>91</v>
      </c>
      <c r="F36" t="s">
        <v>376</v>
      </c>
      <c r="G36" t="s">
        <v>55</v>
      </c>
    </row>
    <row r="37" spans="1:7" x14ac:dyDescent="0.25">
      <c r="A37" s="19">
        <v>50221609600045</v>
      </c>
      <c r="B37" s="16" t="s">
        <v>119</v>
      </c>
      <c r="C37" s="27" t="s">
        <v>375</v>
      </c>
      <c r="E37" t="s">
        <v>91</v>
      </c>
      <c r="F37" t="s">
        <v>376</v>
      </c>
      <c r="G37" t="s">
        <v>55</v>
      </c>
    </row>
    <row r="38" spans="1:7" x14ac:dyDescent="0.25">
      <c r="A38" s="19">
        <v>74981685600043</v>
      </c>
      <c r="B38" s="16" t="s">
        <v>120</v>
      </c>
      <c r="C38" s="27" t="s">
        <v>375</v>
      </c>
      <c r="E38" t="s">
        <v>91</v>
      </c>
      <c r="F38" t="s">
        <v>376</v>
      </c>
      <c r="G38" t="s">
        <v>57</v>
      </c>
    </row>
    <row r="39" spans="1:7" x14ac:dyDescent="0.25">
      <c r="A39" s="19">
        <v>79417327800027</v>
      </c>
      <c r="B39" s="16" t="s">
        <v>121</v>
      </c>
      <c r="C39" s="27" t="s">
        <v>375</v>
      </c>
      <c r="E39" t="s">
        <v>91</v>
      </c>
      <c r="F39" t="s">
        <v>376</v>
      </c>
      <c r="G39" t="s">
        <v>57</v>
      </c>
    </row>
    <row r="40" spans="1:7" x14ac:dyDescent="0.25">
      <c r="A40" s="19">
        <v>47876369100035</v>
      </c>
      <c r="B40" s="16" t="s">
        <v>122</v>
      </c>
      <c r="C40" s="27" t="s">
        <v>375</v>
      </c>
      <c r="E40" t="s">
        <v>91</v>
      </c>
      <c r="F40" t="s">
        <v>376</v>
      </c>
      <c r="G40" t="s">
        <v>57</v>
      </c>
    </row>
    <row r="41" spans="1:7" x14ac:dyDescent="0.25">
      <c r="A41" s="19">
        <v>33025346900036</v>
      </c>
      <c r="B41" s="16" t="s">
        <v>123</v>
      </c>
      <c r="C41" s="27" t="s">
        <v>375</v>
      </c>
      <c r="E41" t="s">
        <v>91</v>
      </c>
      <c r="F41" t="s">
        <v>376</v>
      </c>
      <c r="G41" t="s">
        <v>57</v>
      </c>
    </row>
    <row r="42" spans="1:7" x14ac:dyDescent="0.25">
      <c r="A42" s="19">
        <v>76120077300015</v>
      </c>
      <c r="B42" s="16" t="s">
        <v>124</v>
      </c>
      <c r="C42" s="27" t="s">
        <v>375</v>
      </c>
      <c r="E42" t="s">
        <v>91</v>
      </c>
      <c r="F42" t="s">
        <v>376</v>
      </c>
      <c r="G42" t="s">
        <v>57</v>
      </c>
    </row>
    <row r="43" spans="1:7" x14ac:dyDescent="0.25">
      <c r="A43" s="19">
        <v>43821718400045</v>
      </c>
      <c r="B43" s="16" t="s">
        <v>125</v>
      </c>
      <c r="C43" s="27" t="s">
        <v>375</v>
      </c>
      <c r="E43" t="s">
        <v>91</v>
      </c>
      <c r="F43" t="s">
        <v>376</v>
      </c>
      <c r="G43" t="s">
        <v>57</v>
      </c>
    </row>
    <row r="44" spans="1:7" x14ac:dyDescent="0.25">
      <c r="A44" s="19">
        <v>40825713700047</v>
      </c>
      <c r="B44" s="16" t="s">
        <v>126</v>
      </c>
      <c r="C44" s="27" t="s">
        <v>375</v>
      </c>
      <c r="E44" t="s">
        <v>91</v>
      </c>
      <c r="F44" t="s">
        <v>376</v>
      </c>
      <c r="G44" t="s">
        <v>57</v>
      </c>
    </row>
    <row r="45" spans="1:7" x14ac:dyDescent="0.25">
      <c r="A45" s="19">
        <v>44338869900037</v>
      </c>
      <c r="B45" s="16" t="s">
        <v>127</v>
      </c>
      <c r="C45" s="27" t="s">
        <v>375</v>
      </c>
      <c r="E45" t="s">
        <v>91</v>
      </c>
      <c r="F45" t="s">
        <v>376</v>
      </c>
      <c r="G45" t="s">
        <v>57</v>
      </c>
    </row>
    <row r="46" spans="1:7" x14ac:dyDescent="0.25">
      <c r="A46" s="19">
        <v>31675497700023</v>
      </c>
      <c r="B46" s="16" t="s">
        <v>128</v>
      </c>
      <c r="C46" s="27" t="s">
        <v>375</v>
      </c>
      <c r="E46" t="s">
        <v>91</v>
      </c>
      <c r="F46" t="s">
        <v>376</v>
      </c>
      <c r="G46" t="s">
        <v>57</v>
      </c>
    </row>
    <row r="47" spans="1:7" x14ac:dyDescent="0.25">
      <c r="A47" s="19">
        <v>42126398900020</v>
      </c>
      <c r="B47" s="16" t="s">
        <v>129</v>
      </c>
      <c r="C47" s="27" t="s">
        <v>375</v>
      </c>
      <c r="E47" t="s">
        <v>91</v>
      </c>
      <c r="F47" t="s">
        <v>376</v>
      </c>
      <c r="G47" t="s">
        <v>57</v>
      </c>
    </row>
    <row r="48" spans="1:7" x14ac:dyDescent="0.25">
      <c r="A48" s="19">
        <v>35032902500042</v>
      </c>
      <c r="B48" s="16" t="s">
        <v>130</v>
      </c>
      <c r="C48" s="27" t="s">
        <v>375</v>
      </c>
      <c r="E48" t="s">
        <v>91</v>
      </c>
      <c r="F48" t="s">
        <v>376</v>
      </c>
      <c r="G48" t="s">
        <v>57</v>
      </c>
    </row>
    <row r="49" spans="1:7" x14ac:dyDescent="0.25">
      <c r="A49" s="19">
        <v>38335951001284</v>
      </c>
      <c r="B49" s="16" t="s">
        <v>131</v>
      </c>
      <c r="C49" s="27" t="s">
        <v>375</v>
      </c>
      <c r="E49" t="s">
        <v>91</v>
      </c>
      <c r="F49" t="s">
        <v>376</v>
      </c>
      <c r="G49" t="s">
        <v>57</v>
      </c>
    </row>
    <row r="50" spans="1:7" x14ac:dyDescent="0.25">
      <c r="A50" s="19">
        <v>35132272200064</v>
      </c>
      <c r="B50" s="16" t="s">
        <v>132</v>
      </c>
      <c r="C50" s="27" t="s">
        <v>375</v>
      </c>
      <c r="E50" t="s">
        <v>91</v>
      </c>
      <c r="F50" t="s">
        <v>376</v>
      </c>
      <c r="G50" t="s">
        <v>57</v>
      </c>
    </row>
    <row r="51" spans="1:7" x14ac:dyDescent="0.25">
      <c r="A51" s="19">
        <v>35132272200064</v>
      </c>
      <c r="B51" s="16" t="s">
        <v>133</v>
      </c>
      <c r="C51" s="27" t="s">
        <v>375</v>
      </c>
      <c r="E51" t="s">
        <v>91</v>
      </c>
      <c r="F51" t="s">
        <v>376</v>
      </c>
      <c r="G51" t="s">
        <v>57</v>
      </c>
    </row>
    <row r="52" spans="1:7" x14ac:dyDescent="0.25">
      <c r="A52" s="19">
        <v>38821746500045</v>
      </c>
      <c r="B52" s="16" t="s">
        <v>134</v>
      </c>
      <c r="C52" s="27" t="s">
        <v>375</v>
      </c>
      <c r="E52" t="s">
        <v>91</v>
      </c>
      <c r="F52" t="s">
        <v>376</v>
      </c>
      <c r="G52" t="s">
        <v>58</v>
      </c>
    </row>
    <row r="53" spans="1:7" x14ac:dyDescent="0.25">
      <c r="A53" s="19">
        <v>30778703600051</v>
      </c>
      <c r="B53" s="16" t="s">
        <v>135</v>
      </c>
      <c r="C53" s="27" t="s">
        <v>375</v>
      </c>
      <c r="E53" t="s">
        <v>91</v>
      </c>
      <c r="F53" t="s">
        <v>376</v>
      </c>
      <c r="G53" t="s">
        <v>58</v>
      </c>
    </row>
    <row r="54" spans="1:7" x14ac:dyDescent="0.25">
      <c r="A54" s="19">
        <v>44348571900050</v>
      </c>
      <c r="B54" s="16" t="s">
        <v>136</v>
      </c>
      <c r="C54" s="27" t="s">
        <v>375</v>
      </c>
      <c r="E54" t="s">
        <v>91</v>
      </c>
      <c r="F54" t="s">
        <v>376</v>
      </c>
      <c r="G54" t="s">
        <v>58</v>
      </c>
    </row>
    <row r="55" spans="1:7" x14ac:dyDescent="0.25">
      <c r="A55" s="19">
        <v>79469851400039</v>
      </c>
      <c r="B55" s="16" t="s">
        <v>137</v>
      </c>
      <c r="C55" s="27" t="s">
        <v>375</v>
      </c>
      <c r="E55" t="s">
        <v>91</v>
      </c>
      <c r="F55" t="s">
        <v>376</v>
      </c>
      <c r="G55" t="s">
        <v>58</v>
      </c>
    </row>
    <row r="56" spans="1:7" x14ac:dyDescent="0.25">
      <c r="A56" s="19">
        <v>49360407800045</v>
      </c>
      <c r="B56" s="16" t="s">
        <v>138</v>
      </c>
      <c r="C56" s="27" t="s">
        <v>375</v>
      </c>
      <c r="E56" t="s">
        <v>91</v>
      </c>
      <c r="F56" t="s">
        <v>376</v>
      </c>
      <c r="G56" t="s">
        <v>58</v>
      </c>
    </row>
    <row r="57" spans="1:7" x14ac:dyDescent="0.25">
      <c r="A57" s="19">
        <v>49157149300023</v>
      </c>
      <c r="B57" s="16" t="s">
        <v>139</v>
      </c>
      <c r="C57" s="27" t="s">
        <v>375</v>
      </c>
      <c r="E57" t="s">
        <v>91</v>
      </c>
      <c r="F57" t="s">
        <v>376</v>
      </c>
      <c r="G57" t="s">
        <v>58</v>
      </c>
    </row>
    <row r="58" spans="1:7" x14ac:dyDescent="0.25">
      <c r="A58" s="19">
        <v>49333463500106</v>
      </c>
      <c r="B58" s="16" t="s">
        <v>140</v>
      </c>
      <c r="C58" s="27" t="s">
        <v>375</v>
      </c>
      <c r="E58" t="s">
        <v>91</v>
      </c>
      <c r="F58" t="s">
        <v>376</v>
      </c>
      <c r="G58" t="s">
        <v>58</v>
      </c>
    </row>
    <row r="59" spans="1:7" x14ac:dyDescent="0.25">
      <c r="A59" s="19">
        <v>38423665900072</v>
      </c>
      <c r="B59" s="16" t="s">
        <v>141</v>
      </c>
      <c r="C59" s="27" t="s">
        <v>375</v>
      </c>
      <c r="E59" t="s">
        <v>91</v>
      </c>
      <c r="F59" t="s">
        <v>376</v>
      </c>
      <c r="G59" t="s">
        <v>58</v>
      </c>
    </row>
    <row r="60" spans="1:7" x14ac:dyDescent="0.25">
      <c r="A60" s="19">
        <v>45314873600029</v>
      </c>
      <c r="B60" s="16" t="s">
        <v>142</v>
      </c>
      <c r="C60" s="27" t="s">
        <v>375</v>
      </c>
      <c r="E60" t="s">
        <v>91</v>
      </c>
      <c r="F60" t="s">
        <v>376</v>
      </c>
      <c r="G60" t="s">
        <v>58</v>
      </c>
    </row>
    <row r="61" spans="1:7" x14ac:dyDescent="0.25">
      <c r="A61" s="19">
        <v>37964940300035</v>
      </c>
      <c r="B61" s="16" t="s">
        <v>143</v>
      </c>
      <c r="C61" s="27" t="s">
        <v>375</v>
      </c>
      <c r="E61" t="s">
        <v>91</v>
      </c>
      <c r="F61" t="s">
        <v>376</v>
      </c>
      <c r="G61" t="s">
        <v>58</v>
      </c>
    </row>
    <row r="62" spans="1:7" x14ac:dyDescent="0.25">
      <c r="A62" s="19">
        <v>41473452500028</v>
      </c>
      <c r="B62" s="16" t="s">
        <v>144</v>
      </c>
      <c r="C62" s="27" t="s">
        <v>375</v>
      </c>
      <c r="E62" t="s">
        <v>91</v>
      </c>
      <c r="F62" t="s">
        <v>376</v>
      </c>
      <c r="G62" t="s">
        <v>58</v>
      </c>
    </row>
    <row r="63" spans="1:7" x14ac:dyDescent="0.25">
      <c r="A63" s="19">
        <v>95750394900035</v>
      </c>
      <c r="B63" s="16" t="s">
        <v>145</v>
      </c>
      <c r="C63" s="27" t="s">
        <v>375</v>
      </c>
      <c r="E63" t="s">
        <v>91</v>
      </c>
      <c r="F63" t="s">
        <v>376</v>
      </c>
      <c r="G63" t="s">
        <v>58</v>
      </c>
    </row>
    <row r="64" spans="1:7" x14ac:dyDescent="0.25">
      <c r="A64" s="19">
        <v>38367918000026</v>
      </c>
      <c r="B64" s="16" t="s">
        <v>146</v>
      </c>
      <c r="C64" s="27" t="s">
        <v>375</v>
      </c>
      <c r="E64" t="s">
        <v>91</v>
      </c>
      <c r="F64" t="s">
        <v>376</v>
      </c>
      <c r="G64" t="s">
        <v>58</v>
      </c>
    </row>
    <row r="65" spans="1:7" x14ac:dyDescent="0.25">
      <c r="A65" s="19">
        <v>50125792700043</v>
      </c>
      <c r="B65" s="16" t="s">
        <v>147</v>
      </c>
      <c r="C65" s="27" t="s">
        <v>375</v>
      </c>
      <c r="E65" t="s">
        <v>91</v>
      </c>
      <c r="F65" t="s">
        <v>376</v>
      </c>
      <c r="G65" t="s">
        <v>58</v>
      </c>
    </row>
    <row r="66" spans="1:7" x14ac:dyDescent="0.25">
      <c r="A66" s="19">
        <v>50947827700064</v>
      </c>
      <c r="B66" s="16" t="s">
        <v>148</v>
      </c>
      <c r="C66" s="27" t="s">
        <v>375</v>
      </c>
      <c r="E66" t="s">
        <v>91</v>
      </c>
      <c r="F66" t="s">
        <v>376</v>
      </c>
      <c r="G66" t="s">
        <v>60</v>
      </c>
    </row>
    <row r="67" spans="1:7" x14ac:dyDescent="0.25">
      <c r="A67" s="19">
        <v>95680282100036</v>
      </c>
      <c r="B67" s="16" t="s">
        <v>149</v>
      </c>
      <c r="C67" s="27" t="s">
        <v>375</v>
      </c>
      <c r="E67" t="s">
        <v>91</v>
      </c>
      <c r="F67" t="s">
        <v>376</v>
      </c>
      <c r="G67" t="s">
        <v>60</v>
      </c>
    </row>
    <row r="68" spans="1:7" x14ac:dyDescent="0.25">
      <c r="A68" s="19">
        <v>91020324900016</v>
      </c>
      <c r="B68" s="16" t="s">
        <v>150</v>
      </c>
      <c r="C68" s="27" t="s">
        <v>375</v>
      </c>
      <c r="E68" t="s">
        <v>91</v>
      </c>
      <c r="F68" t="s">
        <v>376</v>
      </c>
      <c r="G68" t="s">
        <v>60</v>
      </c>
    </row>
    <row r="69" spans="1:7" x14ac:dyDescent="0.25">
      <c r="A69" s="19">
        <v>38335951001367</v>
      </c>
      <c r="B69" s="16" t="s">
        <v>151</v>
      </c>
      <c r="C69" s="27" t="s">
        <v>375</v>
      </c>
      <c r="E69" t="s">
        <v>91</v>
      </c>
      <c r="F69" t="s">
        <v>376</v>
      </c>
      <c r="G69" t="s">
        <v>60</v>
      </c>
    </row>
    <row r="70" spans="1:7" x14ac:dyDescent="0.25">
      <c r="A70" s="19">
        <v>32913278100033</v>
      </c>
      <c r="B70" s="16" t="s">
        <v>152</v>
      </c>
      <c r="C70" s="27" t="s">
        <v>375</v>
      </c>
      <c r="E70" t="s">
        <v>91</v>
      </c>
      <c r="F70" t="s">
        <v>376</v>
      </c>
      <c r="G70" t="s">
        <v>60</v>
      </c>
    </row>
    <row r="71" spans="1:7" x14ac:dyDescent="0.25">
      <c r="A71" s="19">
        <v>80161144300012</v>
      </c>
      <c r="B71" s="16" t="s">
        <v>153</v>
      </c>
      <c r="C71" s="27" t="s">
        <v>375</v>
      </c>
      <c r="E71" t="s">
        <v>91</v>
      </c>
      <c r="F71" t="s">
        <v>376</v>
      </c>
      <c r="G71" t="s">
        <v>60</v>
      </c>
    </row>
    <row r="72" spans="1:7" x14ac:dyDescent="0.25">
      <c r="A72"/>
      <c r="B72" s="16" t="s">
        <v>154</v>
      </c>
      <c r="C72" s="27" t="s">
        <v>375</v>
      </c>
      <c r="E72" t="s">
        <v>91</v>
      </c>
      <c r="F72" t="s">
        <v>376</v>
      </c>
      <c r="G72" t="s">
        <v>60</v>
      </c>
    </row>
    <row r="73" spans="1:7" x14ac:dyDescent="0.25">
      <c r="A73" s="19">
        <v>34265658400014</v>
      </c>
      <c r="B73" s="16" t="s">
        <v>155</v>
      </c>
      <c r="C73" s="27" t="s">
        <v>375</v>
      </c>
      <c r="E73" t="s">
        <v>91</v>
      </c>
      <c r="F73" t="s">
        <v>376</v>
      </c>
      <c r="G73" t="s">
        <v>60</v>
      </c>
    </row>
    <row r="74" spans="1:7" x14ac:dyDescent="0.25">
      <c r="A74" s="19">
        <v>38179818000042</v>
      </c>
      <c r="B74" s="16" t="s">
        <v>156</v>
      </c>
      <c r="C74" s="27" t="s">
        <v>375</v>
      </c>
      <c r="E74" t="s">
        <v>91</v>
      </c>
      <c r="F74" t="s">
        <v>376</v>
      </c>
      <c r="G74" t="s">
        <v>60</v>
      </c>
    </row>
    <row r="75" spans="1:7" x14ac:dyDescent="0.25">
      <c r="A75" s="19">
        <v>80938416700064</v>
      </c>
      <c r="B75" s="16" t="s">
        <v>157</v>
      </c>
      <c r="C75" s="27" t="s">
        <v>375</v>
      </c>
      <c r="E75" t="s">
        <v>91</v>
      </c>
      <c r="F75" t="s">
        <v>376</v>
      </c>
      <c r="G75" t="s">
        <v>60</v>
      </c>
    </row>
    <row r="76" spans="1:7" x14ac:dyDescent="0.25">
      <c r="A76" s="20">
        <v>33009739500025</v>
      </c>
      <c r="B76" s="16" t="s">
        <v>158</v>
      </c>
      <c r="C76" s="27" t="s">
        <v>375</v>
      </c>
      <c r="E76" t="s">
        <v>91</v>
      </c>
      <c r="F76" t="s">
        <v>376</v>
      </c>
      <c r="G76" t="s">
        <v>60</v>
      </c>
    </row>
    <row r="77" spans="1:7" x14ac:dyDescent="0.25">
      <c r="A77" s="20">
        <v>33009739500025</v>
      </c>
      <c r="B77" s="16" t="s">
        <v>159</v>
      </c>
      <c r="C77" s="27" t="s">
        <v>375</v>
      </c>
      <c r="E77" t="s">
        <v>91</v>
      </c>
      <c r="F77" t="s">
        <v>376</v>
      </c>
      <c r="G77" t="s">
        <v>60</v>
      </c>
    </row>
    <row r="78" spans="1:7" x14ac:dyDescent="0.25">
      <c r="A78" s="20">
        <v>33009739500025</v>
      </c>
      <c r="B78" s="16" t="s">
        <v>160</v>
      </c>
      <c r="C78" s="27" t="s">
        <v>375</v>
      </c>
      <c r="E78" t="s">
        <v>91</v>
      </c>
      <c r="F78" t="s">
        <v>376</v>
      </c>
      <c r="G78" t="s">
        <v>60</v>
      </c>
    </row>
    <row r="79" spans="1:7" x14ac:dyDescent="0.25">
      <c r="A79" s="19">
        <v>40229488800027</v>
      </c>
      <c r="B79" s="16" t="s">
        <v>161</v>
      </c>
      <c r="C79" s="27" t="s">
        <v>375</v>
      </c>
      <c r="E79" t="s">
        <v>91</v>
      </c>
      <c r="F79" t="s">
        <v>376</v>
      </c>
      <c r="G79" t="s">
        <v>60</v>
      </c>
    </row>
    <row r="80" spans="1:7" x14ac:dyDescent="0.25">
      <c r="A80" s="19">
        <v>30738996500038</v>
      </c>
      <c r="B80" s="16" t="s">
        <v>162</v>
      </c>
      <c r="C80" s="27" t="s">
        <v>375</v>
      </c>
      <c r="E80" t="s">
        <v>91</v>
      </c>
      <c r="F80" t="s">
        <v>376</v>
      </c>
      <c r="G80" t="s">
        <v>60</v>
      </c>
    </row>
    <row r="81" spans="1:7" x14ac:dyDescent="0.25">
      <c r="A81" s="19">
        <v>48118401800044</v>
      </c>
      <c r="B81" s="16" t="s">
        <v>163</v>
      </c>
      <c r="C81" s="27" t="s">
        <v>375</v>
      </c>
      <c r="E81" t="s">
        <v>91</v>
      </c>
      <c r="F81" t="s">
        <v>376</v>
      </c>
      <c r="G81" t="s">
        <v>62</v>
      </c>
    </row>
    <row r="82" spans="1:7" x14ac:dyDescent="0.25">
      <c r="A82" s="19">
        <v>42999261300050</v>
      </c>
      <c r="B82" s="16" t="s">
        <v>164</v>
      </c>
      <c r="C82" s="27" t="s">
        <v>375</v>
      </c>
      <c r="E82" t="s">
        <v>91</v>
      </c>
      <c r="F82" t="s">
        <v>376</v>
      </c>
      <c r="G82" t="s">
        <v>62</v>
      </c>
    </row>
    <row r="83" spans="1:7" x14ac:dyDescent="0.25">
      <c r="A83" s="19">
        <v>94305988100012</v>
      </c>
      <c r="B83" s="16" t="s">
        <v>165</v>
      </c>
      <c r="C83" s="27" t="s">
        <v>375</v>
      </c>
      <c r="E83" t="s">
        <v>91</v>
      </c>
      <c r="F83" t="s">
        <v>376</v>
      </c>
      <c r="G83" t="s">
        <v>62</v>
      </c>
    </row>
    <row r="84" spans="1:7" x14ac:dyDescent="0.25">
      <c r="A84" s="19">
        <v>37879953000050</v>
      </c>
      <c r="B84" s="16" t="s">
        <v>166</v>
      </c>
      <c r="C84" s="27" t="s">
        <v>375</v>
      </c>
      <c r="E84" t="s">
        <v>91</v>
      </c>
      <c r="F84" t="s">
        <v>376</v>
      </c>
      <c r="G84" t="s">
        <v>62</v>
      </c>
    </row>
    <row r="85" spans="1:7" x14ac:dyDescent="0.25">
      <c r="A85" s="19">
        <v>34014010200039</v>
      </c>
      <c r="B85" s="16" t="s">
        <v>167</v>
      </c>
      <c r="C85" s="27" t="s">
        <v>375</v>
      </c>
      <c r="E85" t="s">
        <v>91</v>
      </c>
      <c r="F85" t="s">
        <v>376</v>
      </c>
      <c r="G85" t="s">
        <v>62</v>
      </c>
    </row>
    <row r="86" spans="1:7" x14ac:dyDescent="0.25">
      <c r="A86" s="19">
        <v>86050038800092</v>
      </c>
      <c r="B86" s="16" t="s">
        <v>168</v>
      </c>
      <c r="C86" s="27" t="s">
        <v>375</v>
      </c>
      <c r="E86" t="s">
        <v>91</v>
      </c>
      <c r="F86" t="s">
        <v>376</v>
      </c>
      <c r="G86" t="s">
        <v>62</v>
      </c>
    </row>
    <row r="87" spans="1:7" x14ac:dyDescent="0.25">
      <c r="A87" s="19">
        <v>39936902400092</v>
      </c>
      <c r="B87" s="16" t="s">
        <v>169</v>
      </c>
      <c r="C87" s="27" t="s">
        <v>375</v>
      </c>
      <c r="E87" t="s">
        <v>91</v>
      </c>
      <c r="F87" t="s">
        <v>376</v>
      </c>
      <c r="G87" t="s">
        <v>62</v>
      </c>
    </row>
    <row r="88" spans="1:7" x14ac:dyDescent="0.25">
      <c r="A88" s="19">
        <v>39838211900020</v>
      </c>
      <c r="B88" s="16" t="s">
        <v>170</v>
      </c>
      <c r="C88" s="27" t="s">
        <v>375</v>
      </c>
      <c r="E88" t="s">
        <v>91</v>
      </c>
      <c r="F88" t="s">
        <v>376</v>
      </c>
      <c r="G88" t="s">
        <v>62</v>
      </c>
    </row>
    <row r="89" spans="1:7" x14ac:dyDescent="0.25">
      <c r="A89" s="19">
        <v>38294005400069</v>
      </c>
      <c r="B89" s="16" t="s">
        <v>171</v>
      </c>
      <c r="C89" s="27" t="s">
        <v>375</v>
      </c>
      <c r="E89" t="s">
        <v>91</v>
      </c>
      <c r="F89" t="s">
        <v>376</v>
      </c>
      <c r="G89" t="s">
        <v>62</v>
      </c>
    </row>
    <row r="90" spans="1:7" x14ac:dyDescent="0.25">
      <c r="A90" s="19">
        <v>33478205900177</v>
      </c>
      <c r="B90" s="16" t="s">
        <v>172</v>
      </c>
      <c r="C90" s="27" t="s">
        <v>375</v>
      </c>
      <c r="E90" t="s">
        <v>91</v>
      </c>
      <c r="F90" t="s">
        <v>376</v>
      </c>
      <c r="G90" t="s">
        <v>62</v>
      </c>
    </row>
    <row r="91" spans="1:7" x14ac:dyDescent="0.25">
      <c r="A91" s="19">
        <v>35188747600031</v>
      </c>
      <c r="B91" s="16" t="s">
        <v>173</v>
      </c>
      <c r="C91" s="27" t="s">
        <v>375</v>
      </c>
      <c r="E91" t="s">
        <v>91</v>
      </c>
      <c r="F91" t="s">
        <v>376</v>
      </c>
      <c r="G91" t="s">
        <v>62</v>
      </c>
    </row>
    <row r="92" spans="1:7" x14ac:dyDescent="0.25">
      <c r="A92" s="19">
        <v>35244123200068</v>
      </c>
      <c r="B92" s="16" t="s">
        <v>174</v>
      </c>
      <c r="C92" s="27" t="s">
        <v>375</v>
      </c>
      <c r="E92" t="s">
        <v>91</v>
      </c>
      <c r="F92" t="s">
        <v>376</v>
      </c>
      <c r="G92" t="s">
        <v>62</v>
      </c>
    </row>
    <row r="93" spans="1:7" x14ac:dyDescent="0.25">
      <c r="A93" s="19">
        <v>38178971800065</v>
      </c>
      <c r="B93" s="16" t="s">
        <v>175</v>
      </c>
      <c r="C93" s="27" t="s">
        <v>375</v>
      </c>
      <c r="E93" t="s">
        <v>91</v>
      </c>
      <c r="F93" t="s">
        <v>376</v>
      </c>
      <c r="G93" t="s">
        <v>62</v>
      </c>
    </row>
    <row r="94" spans="1:7" x14ac:dyDescent="0.25">
      <c r="A94" s="19">
        <v>37805349000058</v>
      </c>
      <c r="B94" s="16" t="s">
        <v>176</v>
      </c>
      <c r="C94" s="27" t="s">
        <v>375</v>
      </c>
      <c r="E94" t="s">
        <v>91</v>
      </c>
      <c r="F94" t="s">
        <v>376</v>
      </c>
      <c r="G94" t="s">
        <v>62</v>
      </c>
    </row>
    <row r="95" spans="1:7" x14ac:dyDescent="0.25">
      <c r="A95" s="19">
        <v>42492579000083</v>
      </c>
      <c r="B95" s="16" t="s">
        <v>177</v>
      </c>
      <c r="C95" s="27" t="s">
        <v>375</v>
      </c>
      <c r="E95" t="s">
        <v>91</v>
      </c>
      <c r="F95" t="s">
        <v>376</v>
      </c>
      <c r="G95" t="s">
        <v>62</v>
      </c>
    </row>
    <row r="96" spans="1:7" x14ac:dyDescent="0.25">
      <c r="A96" s="19">
        <v>42492579000083</v>
      </c>
      <c r="B96" s="16" t="s">
        <v>178</v>
      </c>
      <c r="C96" s="27" t="s">
        <v>375</v>
      </c>
      <c r="E96" t="s">
        <v>91</v>
      </c>
      <c r="F96" t="s">
        <v>376</v>
      </c>
      <c r="G96" t="s">
        <v>64</v>
      </c>
    </row>
    <row r="97" spans="1:7" x14ac:dyDescent="0.25">
      <c r="A97" s="19">
        <v>42343997500016</v>
      </c>
      <c r="B97" s="16" t="s">
        <v>179</v>
      </c>
      <c r="C97" s="27" t="s">
        <v>375</v>
      </c>
      <c r="E97" t="s">
        <v>91</v>
      </c>
      <c r="F97" t="s">
        <v>376</v>
      </c>
      <c r="G97" t="s">
        <v>64</v>
      </c>
    </row>
    <row r="98" spans="1:7" x14ac:dyDescent="0.25">
      <c r="A98" s="19">
        <v>31214052800018</v>
      </c>
      <c r="B98" s="16" t="s">
        <v>180</v>
      </c>
      <c r="C98" s="27" t="s">
        <v>375</v>
      </c>
      <c r="E98" t="s">
        <v>91</v>
      </c>
      <c r="F98" t="s">
        <v>376</v>
      </c>
      <c r="G98" t="s">
        <v>64</v>
      </c>
    </row>
    <row r="99" spans="1:7" x14ac:dyDescent="0.25">
      <c r="A99" s="19">
        <v>45046145400016</v>
      </c>
      <c r="B99" s="16" t="s">
        <v>181</v>
      </c>
      <c r="C99" s="27" t="s">
        <v>375</v>
      </c>
      <c r="E99" t="s">
        <v>91</v>
      </c>
      <c r="F99" t="s">
        <v>376</v>
      </c>
      <c r="G99" t="s">
        <v>64</v>
      </c>
    </row>
    <row r="100" spans="1:7" x14ac:dyDescent="0.25">
      <c r="A100" s="19">
        <v>33533889300050</v>
      </c>
      <c r="B100" s="16" t="s">
        <v>182</v>
      </c>
      <c r="C100" s="27" t="s">
        <v>375</v>
      </c>
      <c r="E100" t="s">
        <v>91</v>
      </c>
      <c r="F100" t="s">
        <v>376</v>
      </c>
      <c r="G100" t="s">
        <v>64</v>
      </c>
    </row>
    <row r="101" spans="1:7" x14ac:dyDescent="0.25">
      <c r="A101" s="19">
        <v>42101373100052</v>
      </c>
      <c r="B101" s="16" t="s">
        <v>183</v>
      </c>
      <c r="C101" s="27" t="s">
        <v>375</v>
      </c>
      <c r="E101" t="s">
        <v>91</v>
      </c>
      <c r="F101" t="s">
        <v>376</v>
      </c>
      <c r="G101" t="s">
        <v>64</v>
      </c>
    </row>
    <row r="102" spans="1:7" x14ac:dyDescent="0.25">
      <c r="A102" s="19">
        <v>41455649800056</v>
      </c>
      <c r="B102" s="16" t="s">
        <v>184</v>
      </c>
      <c r="C102" s="27" t="s">
        <v>375</v>
      </c>
      <c r="E102" t="s">
        <v>91</v>
      </c>
      <c r="F102" t="s">
        <v>376</v>
      </c>
      <c r="G102" t="s">
        <v>64</v>
      </c>
    </row>
    <row r="103" spans="1:7" x14ac:dyDescent="0.25">
      <c r="A103" s="19">
        <v>52792826100041</v>
      </c>
      <c r="B103" s="16" t="s">
        <v>185</v>
      </c>
      <c r="C103" s="27" t="s">
        <v>375</v>
      </c>
      <c r="E103" t="s">
        <v>91</v>
      </c>
      <c r="F103" t="s">
        <v>376</v>
      </c>
      <c r="G103" t="s">
        <v>64</v>
      </c>
    </row>
    <row r="104" spans="1:7" x14ac:dyDescent="0.25">
      <c r="A104" s="21">
        <v>45160142100063</v>
      </c>
      <c r="B104" s="16" t="s">
        <v>186</v>
      </c>
      <c r="C104" s="27" t="s">
        <v>375</v>
      </c>
      <c r="E104" t="s">
        <v>91</v>
      </c>
      <c r="F104" t="s">
        <v>376</v>
      </c>
      <c r="G104" t="s">
        <v>64</v>
      </c>
    </row>
    <row r="105" spans="1:7" x14ac:dyDescent="0.25">
      <c r="A105" s="22">
        <v>61203967700077</v>
      </c>
      <c r="B105" s="16" t="s">
        <v>187</v>
      </c>
      <c r="C105" s="27" t="s">
        <v>375</v>
      </c>
      <c r="E105" t="s">
        <v>91</v>
      </c>
      <c r="F105" t="s">
        <v>376</v>
      </c>
      <c r="G105" t="s">
        <v>64</v>
      </c>
    </row>
    <row r="106" spans="1:7" x14ac:dyDescent="0.25">
      <c r="A106" s="23">
        <v>61203967700077</v>
      </c>
      <c r="B106" s="16" t="s">
        <v>188</v>
      </c>
      <c r="C106" s="27" t="s">
        <v>375</v>
      </c>
      <c r="E106" t="s">
        <v>91</v>
      </c>
      <c r="F106" t="s">
        <v>376</v>
      </c>
      <c r="G106" t="s">
        <v>64</v>
      </c>
    </row>
    <row r="107" spans="1:7" x14ac:dyDescent="0.25">
      <c r="A107" s="22">
        <v>80857462800042</v>
      </c>
      <c r="B107" s="16" t="s">
        <v>189</v>
      </c>
      <c r="C107" s="27" t="s">
        <v>375</v>
      </c>
      <c r="E107" t="s">
        <v>91</v>
      </c>
      <c r="F107" t="s">
        <v>376</v>
      </c>
      <c r="G107" t="s">
        <v>64</v>
      </c>
    </row>
    <row r="108" spans="1:7" x14ac:dyDescent="0.25">
      <c r="A108" s="24">
        <v>80857462800042</v>
      </c>
      <c r="B108" s="16" t="s">
        <v>190</v>
      </c>
      <c r="C108" s="27" t="s">
        <v>375</v>
      </c>
      <c r="E108" t="s">
        <v>91</v>
      </c>
      <c r="F108" t="s">
        <v>376</v>
      </c>
      <c r="G108" t="s">
        <v>64</v>
      </c>
    </row>
    <row r="109" spans="1:7" x14ac:dyDescent="0.25">
      <c r="A109" s="23">
        <v>80857462800042</v>
      </c>
      <c r="B109" s="16" t="s">
        <v>191</v>
      </c>
      <c r="C109" s="27" t="s">
        <v>375</v>
      </c>
      <c r="E109" t="s">
        <v>91</v>
      </c>
      <c r="F109" t="s">
        <v>376</v>
      </c>
      <c r="G109" t="s">
        <v>64</v>
      </c>
    </row>
    <row r="110" spans="1:7" x14ac:dyDescent="0.25">
      <c r="A110"/>
      <c r="B110" s="16" t="s">
        <v>192</v>
      </c>
      <c r="C110" s="27" t="s">
        <v>375</v>
      </c>
      <c r="E110" t="s">
        <v>91</v>
      </c>
      <c r="F110" t="s">
        <v>376</v>
      </c>
      <c r="G110" t="s">
        <v>64</v>
      </c>
    </row>
    <row r="111" spans="1:7" x14ac:dyDescent="0.25">
      <c r="A111" s="21">
        <v>80857462800026</v>
      </c>
      <c r="B111" s="17" t="s">
        <v>193</v>
      </c>
      <c r="C111" s="27" t="s">
        <v>375</v>
      </c>
      <c r="E111" t="s">
        <v>91</v>
      </c>
      <c r="F111" t="s">
        <v>376</v>
      </c>
      <c r="G111" t="s">
        <v>64</v>
      </c>
    </row>
    <row r="112" spans="1:7" x14ac:dyDescent="0.25">
      <c r="A112" s="25">
        <v>42330516800100</v>
      </c>
      <c r="B112" s="18" t="s">
        <v>194</v>
      </c>
      <c r="C112" s="27" t="s">
        <v>375</v>
      </c>
      <c r="E112" t="s">
        <v>91</v>
      </c>
      <c r="F112" t="s">
        <v>376</v>
      </c>
      <c r="G112" t="s">
        <v>63</v>
      </c>
    </row>
    <row r="113" spans="1:7" x14ac:dyDescent="0.25">
      <c r="A113" s="25">
        <v>40993621800059</v>
      </c>
      <c r="B113" s="18" t="s">
        <v>195</v>
      </c>
      <c r="C113" s="27" t="s">
        <v>375</v>
      </c>
      <c r="E113" t="s">
        <v>91</v>
      </c>
      <c r="F113" t="s">
        <v>376</v>
      </c>
      <c r="G113" t="s">
        <v>63</v>
      </c>
    </row>
    <row r="114" spans="1:7" x14ac:dyDescent="0.25">
      <c r="A114" s="25">
        <v>40866344100082</v>
      </c>
      <c r="B114" s="18" t="s">
        <v>196</v>
      </c>
      <c r="C114" s="27" t="s">
        <v>375</v>
      </c>
      <c r="E114" t="s">
        <v>91</v>
      </c>
      <c r="F114" t="s">
        <v>376</v>
      </c>
      <c r="G114" t="s">
        <v>63</v>
      </c>
    </row>
    <row r="115" spans="1:7" x14ac:dyDescent="0.25">
      <c r="A115" s="25">
        <v>80857462800042</v>
      </c>
      <c r="B115" s="18" t="s">
        <v>197</v>
      </c>
      <c r="C115" s="27" t="s">
        <v>375</v>
      </c>
      <c r="E115" t="s">
        <v>91</v>
      </c>
      <c r="F115" t="s">
        <v>376</v>
      </c>
      <c r="G115" t="s">
        <v>63</v>
      </c>
    </row>
    <row r="116" spans="1:7" x14ac:dyDescent="0.25">
      <c r="A116" s="25">
        <v>80857462800034</v>
      </c>
      <c r="B116" s="18" t="s">
        <v>198</v>
      </c>
      <c r="C116" s="27" t="s">
        <v>375</v>
      </c>
      <c r="E116" t="s">
        <v>91</v>
      </c>
      <c r="F116" t="s">
        <v>376</v>
      </c>
      <c r="G116" t="s">
        <v>63</v>
      </c>
    </row>
    <row r="117" spans="1:7" x14ac:dyDescent="0.25">
      <c r="A117" s="11"/>
      <c r="B117" s="18" t="s">
        <v>199</v>
      </c>
      <c r="C117" s="27" t="s">
        <v>375</v>
      </c>
      <c r="E117" t="s">
        <v>91</v>
      </c>
      <c r="F117" t="s">
        <v>376</v>
      </c>
      <c r="G117" t="s">
        <v>63</v>
      </c>
    </row>
    <row r="118" spans="1:7" x14ac:dyDescent="0.25">
      <c r="A118" s="25">
        <v>31501335900155</v>
      </c>
      <c r="B118" s="18" t="s">
        <v>200</v>
      </c>
      <c r="C118" s="27" t="s">
        <v>375</v>
      </c>
      <c r="E118" t="s">
        <v>91</v>
      </c>
      <c r="F118" t="s">
        <v>376</v>
      </c>
      <c r="G118" t="s">
        <v>63</v>
      </c>
    </row>
    <row r="119" spans="1:7" x14ac:dyDescent="0.25">
      <c r="A119" s="26">
        <v>80857462800042</v>
      </c>
      <c r="B119" s="18" t="s">
        <v>201</v>
      </c>
      <c r="C119" s="27" t="s">
        <v>375</v>
      </c>
      <c r="E119" t="s">
        <v>91</v>
      </c>
      <c r="F119" t="s">
        <v>376</v>
      </c>
      <c r="G119" t="s">
        <v>63</v>
      </c>
    </row>
    <row r="120" spans="1:7" x14ac:dyDescent="0.25">
      <c r="A120" s="26">
        <v>80857462800042</v>
      </c>
      <c r="B120" s="18" t="s">
        <v>202</v>
      </c>
      <c r="C120" s="27" t="s">
        <v>375</v>
      </c>
      <c r="E120" t="s">
        <v>91</v>
      </c>
      <c r="F120" t="s">
        <v>376</v>
      </c>
      <c r="G120" t="s">
        <v>63</v>
      </c>
    </row>
    <row r="121" spans="1:7" x14ac:dyDescent="0.25">
      <c r="A121" s="26">
        <v>80857462800042</v>
      </c>
      <c r="B121" s="18" t="s">
        <v>203</v>
      </c>
      <c r="C121" s="27" t="s">
        <v>375</v>
      </c>
      <c r="E121" t="s">
        <v>91</v>
      </c>
      <c r="F121" t="s">
        <v>376</v>
      </c>
      <c r="G121" t="s">
        <v>63</v>
      </c>
    </row>
    <row r="122" spans="1:7" x14ac:dyDescent="0.25">
      <c r="A122" s="26">
        <v>80857462800042</v>
      </c>
      <c r="B122" s="18" t="s">
        <v>204</v>
      </c>
      <c r="C122" s="27" t="s">
        <v>375</v>
      </c>
      <c r="E122" t="s">
        <v>91</v>
      </c>
      <c r="F122" t="s">
        <v>376</v>
      </c>
      <c r="G122" t="s">
        <v>63</v>
      </c>
    </row>
    <row r="123" spans="1:7" x14ac:dyDescent="0.25">
      <c r="A123" s="26">
        <v>80857462800442</v>
      </c>
      <c r="B123" s="18" t="s">
        <v>205</v>
      </c>
      <c r="C123" s="27" t="s">
        <v>375</v>
      </c>
      <c r="E123" t="s">
        <v>91</v>
      </c>
      <c r="F123" t="s">
        <v>376</v>
      </c>
      <c r="G123" t="s">
        <v>63</v>
      </c>
    </row>
    <row r="124" spans="1:7" x14ac:dyDescent="0.25">
      <c r="A124" s="26">
        <v>80857462800342</v>
      </c>
      <c r="B124" s="18" t="s">
        <v>206</v>
      </c>
      <c r="C124" s="27" t="s">
        <v>375</v>
      </c>
      <c r="E124" t="s">
        <v>91</v>
      </c>
      <c r="F124" t="s">
        <v>376</v>
      </c>
      <c r="G124" t="s">
        <v>63</v>
      </c>
    </row>
    <row r="125" spans="1:7" x14ac:dyDescent="0.25">
      <c r="A125" s="29">
        <v>79899264000044</v>
      </c>
      <c r="B125" s="30" t="s">
        <v>37</v>
      </c>
      <c r="C125" s="27" t="s">
        <v>33</v>
      </c>
      <c r="D125" s="32">
        <v>46241</v>
      </c>
      <c r="E125" s="31" t="s">
        <v>65</v>
      </c>
      <c r="F125" s="31" t="s">
        <v>31</v>
      </c>
      <c r="G125" s="31" t="s">
        <v>56</v>
      </c>
    </row>
    <row r="126" spans="1:7" x14ac:dyDescent="0.25">
      <c r="A126" s="29">
        <v>40266888300026</v>
      </c>
      <c r="B126" s="30" t="s">
        <v>38</v>
      </c>
      <c r="C126" s="27" t="s">
        <v>33</v>
      </c>
      <c r="D126" s="32">
        <v>46241</v>
      </c>
      <c r="E126" s="31" t="s">
        <v>65</v>
      </c>
      <c r="F126" s="31" t="s">
        <v>31</v>
      </c>
      <c r="G126" s="31" t="s">
        <v>56</v>
      </c>
    </row>
    <row r="127" spans="1:7" x14ac:dyDescent="0.25">
      <c r="A127" s="29">
        <v>38811449800032</v>
      </c>
      <c r="B127" s="30" t="s">
        <v>39</v>
      </c>
      <c r="C127" s="27" t="s">
        <v>33</v>
      </c>
      <c r="D127" s="32">
        <v>46241</v>
      </c>
      <c r="E127" s="31" t="s">
        <v>65</v>
      </c>
      <c r="F127" s="31" t="s">
        <v>31</v>
      </c>
      <c r="G127" s="31" t="s">
        <v>56</v>
      </c>
    </row>
    <row r="128" spans="1:7" x14ac:dyDescent="0.25">
      <c r="A128" s="29">
        <v>82082438100025</v>
      </c>
      <c r="B128" s="30" t="s">
        <v>40</v>
      </c>
      <c r="C128" s="27" t="s">
        <v>33</v>
      </c>
      <c r="D128" s="32">
        <v>46241</v>
      </c>
      <c r="E128" s="31" t="s">
        <v>65</v>
      </c>
      <c r="F128" s="31" t="s">
        <v>31</v>
      </c>
      <c r="G128" s="31" t="s">
        <v>56</v>
      </c>
    </row>
    <row r="129" spans="1:7" x14ac:dyDescent="0.25">
      <c r="A129" s="29">
        <v>52963533600033</v>
      </c>
      <c r="B129" s="30" t="s">
        <v>41</v>
      </c>
      <c r="C129" s="27" t="s">
        <v>33</v>
      </c>
      <c r="D129" s="32">
        <v>46241</v>
      </c>
      <c r="E129" s="31" t="s">
        <v>65</v>
      </c>
      <c r="F129" s="31" t="s">
        <v>31</v>
      </c>
      <c r="G129" s="31" t="s">
        <v>56</v>
      </c>
    </row>
    <row r="130" spans="1:7" x14ac:dyDescent="0.25">
      <c r="A130" s="29">
        <v>82948031800023</v>
      </c>
      <c r="B130" s="30" t="s">
        <v>42</v>
      </c>
      <c r="C130" s="27" t="s">
        <v>33</v>
      </c>
      <c r="D130" s="32">
        <v>46241</v>
      </c>
      <c r="E130" s="31" t="s">
        <v>65</v>
      </c>
      <c r="F130" s="31" t="s">
        <v>31</v>
      </c>
      <c r="G130" s="31" t="s">
        <v>56</v>
      </c>
    </row>
    <row r="131" spans="1:7" x14ac:dyDescent="0.25">
      <c r="A131" s="29">
        <v>32909522800063</v>
      </c>
      <c r="B131" s="30" t="s">
        <v>43</v>
      </c>
      <c r="C131" s="27" t="s">
        <v>33</v>
      </c>
      <c r="D131" s="32">
        <v>46241</v>
      </c>
      <c r="E131" s="31" t="s">
        <v>65</v>
      </c>
      <c r="F131" s="31" t="s">
        <v>31</v>
      </c>
      <c r="G131" s="31" t="s">
        <v>384</v>
      </c>
    </row>
    <row r="132" spans="1:7" x14ac:dyDescent="0.25">
      <c r="A132" s="29">
        <v>80226024000022</v>
      </c>
      <c r="B132" s="30" t="s">
        <v>44</v>
      </c>
      <c r="C132" s="27" t="s">
        <v>33</v>
      </c>
      <c r="D132" s="32">
        <v>46241</v>
      </c>
      <c r="E132" s="31" t="s">
        <v>65</v>
      </c>
      <c r="F132" s="31" t="s">
        <v>31</v>
      </c>
      <c r="G132" s="31" t="s">
        <v>384</v>
      </c>
    </row>
    <row r="133" spans="1:7" x14ac:dyDescent="0.25">
      <c r="A133" s="29">
        <v>38993529700033</v>
      </c>
      <c r="B133" s="30" t="s">
        <v>45</v>
      </c>
      <c r="C133" s="27" t="s">
        <v>33</v>
      </c>
      <c r="D133" s="32">
        <v>46241</v>
      </c>
      <c r="E133" s="31" t="s">
        <v>65</v>
      </c>
      <c r="F133" s="31" t="s">
        <v>31</v>
      </c>
      <c r="G133" s="31" t="s">
        <v>384</v>
      </c>
    </row>
    <row r="134" spans="1:7" x14ac:dyDescent="0.25">
      <c r="A134" s="29">
        <v>78992005500017</v>
      </c>
      <c r="B134" s="30" t="s">
        <v>46</v>
      </c>
      <c r="C134" s="27" t="s">
        <v>33</v>
      </c>
      <c r="D134" s="32">
        <v>46241</v>
      </c>
      <c r="E134" s="31" t="s">
        <v>65</v>
      </c>
      <c r="F134" s="31" t="s">
        <v>31</v>
      </c>
      <c r="G134" s="31" t="s">
        <v>384</v>
      </c>
    </row>
    <row r="135" spans="1:7" x14ac:dyDescent="0.25">
      <c r="A135" s="29">
        <v>89216717200014</v>
      </c>
      <c r="B135" s="30" t="s">
        <v>48</v>
      </c>
      <c r="C135" s="27" t="s">
        <v>33</v>
      </c>
      <c r="D135" s="32">
        <v>46241</v>
      </c>
      <c r="E135" s="31" t="s">
        <v>65</v>
      </c>
      <c r="F135" s="31" t="s">
        <v>31</v>
      </c>
      <c r="G135" s="31" t="s">
        <v>384</v>
      </c>
    </row>
    <row r="136" spans="1:7" x14ac:dyDescent="0.25">
      <c r="A136" s="29">
        <v>82304378100017</v>
      </c>
      <c r="B136" s="30" t="s">
        <v>49</v>
      </c>
      <c r="C136" s="27" t="s">
        <v>33</v>
      </c>
      <c r="D136" s="32">
        <v>46241</v>
      </c>
      <c r="E136" s="31" t="s">
        <v>65</v>
      </c>
      <c r="F136" s="31" t="s">
        <v>31</v>
      </c>
      <c r="G136" s="31" t="s">
        <v>384</v>
      </c>
    </row>
    <row r="137" spans="1:7" x14ac:dyDescent="0.25">
      <c r="A137" s="29">
        <v>91953084000025</v>
      </c>
      <c r="B137" s="30" t="s">
        <v>50</v>
      </c>
      <c r="C137" s="27" t="s">
        <v>33</v>
      </c>
      <c r="D137" s="32">
        <v>46241</v>
      </c>
      <c r="E137" s="31" t="s">
        <v>65</v>
      </c>
      <c r="F137" s="31" t="s">
        <v>31</v>
      </c>
      <c r="G137" s="31" t="s">
        <v>384</v>
      </c>
    </row>
    <row r="138" spans="1:7" x14ac:dyDescent="0.25">
      <c r="A138" s="29">
        <v>69715004300027</v>
      </c>
      <c r="B138" s="30" t="s">
        <v>51</v>
      </c>
      <c r="C138" s="27" t="s">
        <v>33</v>
      </c>
      <c r="D138" s="32">
        <v>46241</v>
      </c>
      <c r="E138" s="31" t="s">
        <v>65</v>
      </c>
      <c r="F138" s="31" t="s">
        <v>31</v>
      </c>
      <c r="G138" s="31" t="s">
        <v>384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C10B4-A3F7-4E61-9DA9-93A07A7AFF6E}">
  <sheetPr codeName="Feuil5"/>
  <dimension ref="A1:L124"/>
  <sheetViews>
    <sheetView zoomScale="85" zoomScaleNormal="85" workbookViewId="0">
      <selection activeCell="D21" sqref="D21"/>
    </sheetView>
  </sheetViews>
  <sheetFormatPr baseColWidth="10" defaultColWidth="11.42578125" defaultRowHeight="15" x14ac:dyDescent="0.25"/>
  <cols>
    <col min="1" max="1" width="15" bestFit="1" customWidth="1"/>
    <col min="2" max="2" width="49.7109375" bestFit="1" customWidth="1"/>
    <col min="3" max="3" width="16.140625" customWidth="1"/>
    <col min="4" max="4" width="24.5703125" style="28" customWidth="1"/>
    <col min="5" max="5" width="50.85546875" bestFit="1" customWidth="1"/>
    <col min="6" max="6" width="13" bestFit="1" customWidth="1"/>
    <col min="7" max="7" width="9.140625" bestFit="1" customWidth="1"/>
    <col min="8" max="8" width="20.42578125" bestFit="1" customWidth="1"/>
    <col min="9" max="9" width="6.28515625" customWidth="1"/>
    <col min="10" max="10" width="23.85546875" bestFit="1" customWidth="1"/>
    <col min="11" max="11" width="44.140625" bestFit="1" customWidth="1"/>
    <col min="12" max="12" width="22.85546875" bestFit="1" customWidth="1"/>
  </cols>
  <sheetData>
    <row r="1" spans="1:12" s="1" customFormat="1" x14ac:dyDescent="0.25">
      <c r="A1" s="1" t="s">
        <v>0</v>
      </c>
      <c r="B1" s="1" t="s">
        <v>22</v>
      </c>
      <c r="C1" s="1" t="s">
        <v>23</v>
      </c>
      <c r="D1" s="36" t="s">
        <v>24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18</v>
      </c>
      <c r="K1" s="1" t="s">
        <v>25</v>
      </c>
      <c r="L1" s="1" t="s">
        <v>3</v>
      </c>
    </row>
    <row r="2" spans="1:12" x14ac:dyDescent="0.25">
      <c r="A2" s="7">
        <v>41966458600031</v>
      </c>
      <c r="B2" s="7" t="s">
        <v>32</v>
      </c>
      <c r="C2" s="7" t="s">
        <v>33</v>
      </c>
      <c r="D2" s="37">
        <v>46241</v>
      </c>
      <c r="E2" s="7" t="s">
        <v>76</v>
      </c>
      <c r="F2" s="7"/>
      <c r="G2" s="7"/>
      <c r="H2" s="7"/>
      <c r="I2" s="7"/>
      <c r="J2" s="7" t="s">
        <v>65</v>
      </c>
      <c r="K2" s="7" t="s">
        <v>31</v>
      </c>
      <c r="L2" s="7" t="s">
        <v>56</v>
      </c>
    </row>
    <row r="3" spans="1:12" x14ac:dyDescent="0.25">
      <c r="A3" s="7">
        <v>32265981400048</v>
      </c>
      <c r="B3" s="7" t="s">
        <v>34</v>
      </c>
      <c r="C3" s="7" t="s">
        <v>33</v>
      </c>
      <c r="D3" s="37">
        <v>46241</v>
      </c>
      <c r="E3" s="7" t="s">
        <v>76</v>
      </c>
      <c r="F3" s="7"/>
      <c r="G3" s="7"/>
      <c r="H3" s="7"/>
      <c r="I3" s="7"/>
      <c r="J3" s="7" t="s">
        <v>74</v>
      </c>
      <c r="K3" s="7" t="s">
        <v>31</v>
      </c>
      <c r="L3" s="7" t="s">
        <v>56</v>
      </c>
    </row>
    <row r="4" spans="1:12" x14ac:dyDescent="0.25">
      <c r="A4" s="7">
        <v>90531113000017</v>
      </c>
      <c r="B4" s="7" t="s">
        <v>35</v>
      </c>
      <c r="C4" s="7" t="s">
        <v>33</v>
      </c>
      <c r="D4" s="37">
        <v>46241</v>
      </c>
      <c r="E4" s="7">
        <v>70031595391299</v>
      </c>
      <c r="F4" s="7">
        <v>227949401953</v>
      </c>
      <c r="G4" s="7" t="s">
        <v>71</v>
      </c>
      <c r="H4" s="7" t="s">
        <v>77</v>
      </c>
      <c r="I4" s="7" t="s">
        <v>75</v>
      </c>
      <c r="J4" s="7" t="s">
        <v>65</v>
      </c>
      <c r="K4" s="7" t="s">
        <v>31</v>
      </c>
      <c r="L4" s="7" t="s">
        <v>55</v>
      </c>
    </row>
    <row r="5" spans="1:12" x14ac:dyDescent="0.25">
      <c r="A5" s="7">
        <v>53533279500058</v>
      </c>
      <c r="B5" s="7" t="s">
        <v>36</v>
      </c>
      <c r="C5" s="7" t="s">
        <v>33</v>
      </c>
      <c r="D5" s="37">
        <v>46241</v>
      </c>
      <c r="E5" s="7">
        <v>70031597756186</v>
      </c>
      <c r="F5" s="7">
        <v>227949401754</v>
      </c>
      <c r="G5" s="7" t="s">
        <v>71</v>
      </c>
      <c r="H5" s="7" t="s">
        <v>78</v>
      </c>
      <c r="I5" s="7" t="s">
        <v>75</v>
      </c>
      <c r="J5" s="7" t="s">
        <v>65</v>
      </c>
      <c r="K5" s="7" t="s">
        <v>31</v>
      </c>
      <c r="L5" s="7" t="s">
        <v>55</v>
      </c>
    </row>
    <row r="6" spans="1:12" x14ac:dyDescent="0.25">
      <c r="A6" s="7">
        <v>79899264000044</v>
      </c>
      <c r="B6" s="7" t="s">
        <v>37</v>
      </c>
      <c r="C6" s="7" t="s">
        <v>33</v>
      </c>
      <c r="D6" s="37">
        <v>46241</v>
      </c>
      <c r="E6" s="7">
        <v>70031600298157</v>
      </c>
      <c r="F6" s="7">
        <v>227949401255</v>
      </c>
      <c r="G6" s="7" t="s">
        <v>71</v>
      </c>
      <c r="H6" s="7" t="s">
        <v>79</v>
      </c>
      <c r="I6" s="7" t="s">
        <v>75</v>
      </c>
      <c r="J6" s="7" t="s">
        <v>65</v>
      </c>
      <c r="K6" s="7" t="s">
        <v>31</v>
      </c>
      <c r="L6" s="7" t="s">
        <v>55</v>
      </c>
    </row>
    <row r="7" spans="1:12" x14ac:dyDescent="0.25">
      <c r="A7" s="7">
        <v>40266888300026</v>
      </c>
      <c r="B7" s="7" t="s">
        <v>38</v>
      </c>
      <c r="C7" s="7" t="s">
        <v>33</v>
      </c>
      <c r="D7" s="37">
        <v>46241</v>
      </c>
      <c r="E7" s="7" t="s">
        <v>76</v>
      </c>
      <c r="F7" s="7"/>
      <c r="G7" s="7"/>
      <c r="H7" s="7"/>
      <c r="I7" s="7"/>
      <c r="J7" s="7" t="s">
        <v>91</v>
      </c>
      <c r="K7" s="7" t="s">
        <v>31</v>
      </c>
      <c r="L7" s="7" t="s">
        <v>57</v>
      </c>
    </row>
    <row r="8" spans="1:12" x14ac:dyDescent="0.25">
      <c r="A8" s="7">
        <v>38811449800032</v>
      </c>
      <c r="B8" s="7" t="s">
        <v>39</v>
      </c>
      <c r="C8" s="7" t="s">
        <v>33</v>
      </c>
      <c r="D8" s="37">
        <v>46241</v>
      </c>
      <c r="E8" s="7">
        <v>70031593535383</v>
      </c>
      <c r="F8" s="7">
        <v>227949401553</v>
      </c>
      <c r="G8" s="7" t="s">
        <v>71</v>
      </c>
      <c r="H8" s="7" t="s">
        <v>80</v>
      </c>
      <c r="I8" s="7" t="s">
        <v>75</v>
      </c>
      <c r="J8" s="7" t="s">
        <v>92</v>
      </c>
      <c r="K8" s="7" t="s">
        <v>31</v>
      </c>
      <c r="L8" s="7" t="s">
        <v>57</v>
      </c>
    </row>
    <row r="9" spans="1:12" x14ac:dyDescent="0.25">
      <c r="A9" s="7">
        <v>82082438100025</v>
      </c>
      <c r="B9" s="7" t="s">
        <v>40</v>
      </c>
      <c r="C9" s="7" t="s">
        <v>33</v>
      </c>
      <c r="D9" s="37">
        <v>46241</v>
      </c>
      <c r="E9" s="7">
        <v>70031593687007</v>
      </c>
      <c r="F9" s="7">
        <v>227949401653</v>
      </c>
      <c r="G9" s="7" t="s">
        <v>71</v>
      </c>
      <c r="H9" s="7" t="s">
        <v>81</v>
      </c>
      <c r="I9" s="7" t="s">
        <v>75</v>
      </c>
      <c r="J9" s="7" t="s">
        <v>65</v>
      </c>
      <c r="K9" s="7" t="s">
        <v>31</v>
      </c>
      <c r="L9" s="7" t="s">
        <v>58</v>
      </c>
    </row>
    <row r="10" spans="1:12" x14ac:dyDescent="0.25">
      <c r="A10" s="7">
        <v>52963533600033</v>
      </c>
      <c r="B10" s="7" t="s">
        <v>41</v>
      </c>
      <c r="C10" s="7" t="s">
        <v>33</v>
      </c>
      <c r="D10" s="37">
        <v>46241</v>
      </c>
      <c r="E10" s="7">
        <v>70031593687007</v>
      </c>
      <c r="F10" s="7">
        <v>227949401454</v>
      </c>
      <c r="G10" s="7" t="s">
        <v>71</v>
      </c>
      <c r="H10" s="7" t="s">
        <v>82</v>
      </c>
      <c r="I10" s="7" t="s">
        <v>75</v>
      </c>
      <c r="J10" s="7" t="s">
        <v>65</v>
      </c>
      <c r="K10" s="7" t="s">
        <v>31</v>
      </c>
      <c r="L10" s="7" t="s">
        <v>58</v>
      </c>
    </row>
    <row r="11" spans="1:12" x14ac:dyDescent="0.25">
      <c r="A11" s="7">
        <v>82948031800023</v>
      </c>
      <c r="B11" s="7" t="s">
        <v>42</v>
      </c>
      <c r="C11" s="7" t="s">
        <v>33</v>
      </c>
      <c r="D11" s="37">
        <v>46241</v>
      </c>
      <c r="E11" s="7">
        <v>70031597227606</v>
      </c>
      <c r="F11" s="7">
        <v>227949401354</v>
      </c>
      <c r="G11" s="7" t="s">
        <v>71</v>
      </c>
      <c r="H11" s="7" t="s">
        <v>83</v>
      </c>
      <c r="I11" s="7" t="s">
        <v>75</v>
      </c>
      <c r="J11" s="7" t="s">
        <v>65</v>
      </c>
      <c r="K11" s="7" t="s">
        <v>31</v>
      </c>
      <c r="L11" s="7" t="s">
        <v>59</v>
      </c>
    </row>
    <row r="12" spans="1:12" x14ac:dyDescent="0.25">
      <c r="A12" s="7">
        <v>32909522800063</v>
      </c>
      <c r="B12" s="7" t="s">
        <v>43</v>
      </c>
      <c r="C12" s="7" t="s">
        <v>33</v>
      </c>
      <c r="D12" s="37">
        <v>46241</v>
      </c>
      <c r="E12" s="7" t="s">
        <v>76</v>
      </c>
      <c r="F12" s="7"/>
      <c r="G12" s="7"/>
      <c r="H12" s="7"/>
      <c r="I12" s="7"/>
      <c r="J12" s="7" t="s">
        <v>93</v>
      </c>
      <c r="K12" s="7" t="s">
        <v>31</v>
      </c>
      <c r="L12" s="7" t="s">
        <v>59</v>
      </c>
    </row>
    <row r="13" spans="1:12" x14ac:dyDescent="0.25">
      <c r="A13" s="7">
        <v>80226024000022</v>
      </c>
      <c r="B13" s="7" t="s">
        <v>44</v>
      </c>
      <c r="C13" s="7" t="s">
        <v>33</v>
      </c>
      <c r="D13" s="37">
        <v>46241</v>
      </c>
      <c r="E13" s="7">
        <v>70031594401027</v>
      </c>
      <c r="F13" s="7">
        <v>227949401853</v>
      </c>
      <c r="G13" s="7" t="s">
        <v>71</v>
      </c>
      <c r="H13" s="7" t="s">
        <v>84</v>
      </c>
      <c r="I13" s="7" t="s">
        <v>75</v>
      </c>
      <c r="J13" s="7" t="s">
        <v>94</v>
      </c>
      <c r="K13" s="7" t="s">
        <v>31</v>
      </c>
      <c r="L13" s="7" t="s">
        <v>60</v>
      </c>
    </row>
    <row r="14" spans="1:12" x14ac:dyDescent="0.25">
      <c r="A14" s="7">
        <v>38993529700033</v>
      </c>
      <c r="B14" s="7" t="s">
        <v>45</v>
      </c>
      <c r="C14" s="7" t="s">
        <v>33</v>
      </c>
      <c r="D14" s="37">
        <v>46241</v>
      </c>
      <c r="E14" s="7">
        <v>70031596645198</v>
      </c>
      <c r="F14" s="7">
        <v>227949401254</v>
      </c>
      <c r="G14" s="7" t="s">
        <v>71</v>
      </c>
      <c r="H14" s="7" t="s">
        <v>85</v>
      </c>
      <c r="I14" s="7" t="s">
        <v>75</v>
      </c>
      <c r="J14" s="7" t="s">
        <v>65</v>
      </c>
      <c r="K14" s="7" t="s">
        <v>31</v>
      </c>
      <c r="L14" s="7" t="s">
        <v>60</v>
      </c>
    </row>
    <row r="15" spans="1:12" x14ac:dyDescent="0.25">
      <c r="A15" s="7">
        <v>78992005500017</v>
      </c>
      <c r="B15" s="7" t="s">
        <v>46</v>
      </c>
      <c r="C15" s="7" t="s">
        <v>33</v>
      </c>
      <c r="D15" s="37">
        <v>46241</v>
      </c>
      <c r="E15" s="7" t="s">
        <v>76</v>
      </c>
      <c r="F15" s="7"/>
      <c r="G15" s="7"/>
      <c r="H15" s="7"/>
      <c r="I15" s="7"/>
      <c r="J15" s="7" t="s">
        <v>65</v>
      </c>
      <c r="K15" s="7" t="s">
        <v>31</v>
      </c>
      <c r="L15" s="7" t="s">
        <v>60</v>
      </c>
    </row>
    <row r="16" spans="1:12" x14ac:dyDescent="0.25">
      <c r="A16" s="7">
        <v>89216717200014</v>
      </c>
      <c r="B16" s="7" t="s">
        <v>48</v>
      </c>
      <c r="C16" s="7" t="s">
        <v>33</v>
      </c>
      <c r="D16" s="37">
        <v>46241</v>
      </c>
      <c r="E16" s="7">
        <v>70031596271923</v>
      </c>
      <c r="F16" s="7">
        <v>227949401154</v>
      </c>
      <c r="G16" s="7" t="s">
        <v>71</v>
      </c>
      <c r="H16" s="7" t="s">
        <v>86</v>
      </c>
      <c r="I16" s="7" t="s">
        <v>75</v>
      </c>
      <c r="J16" s="7" t="s">
        <v>65</v>
      </c>
      <c r="K16" s="7" t="s">
        <v>31</v>
      </c>
      <c r="L16" s="7" t="s">
        <v>61</v>
      </c>
    </row>
    <row r="17" spans="1:12" x14ac:dyDescent="0.25">
      <c r="A17" s="7">
        <v>82304378100017</v>
      </c>
      <c r="B17" s="7" t="s">
        <v>49</v>
      </c>
      <c r="C17" s="7" t="s">
        <v>33</v>
      </c>
      <c r="D17" s="37">
        <v>46241</v>
      </c>
      <c r="E17" s="7">
        <v>70031598512199</v>
      </c>
      <c r="F17" s="7">
        <v>227949401854</v>
      </c>
      <c r="G17" s="7" t="s">
        <v>71</v>
      </c>
      <c r="H17" s="7" t="s">
        <v>87</v>
      </c>
      <c r="I17" s="7" t="s">
        <v>75</v>
      </c>
      <c r="J17" s="7" t="s">
        <v>95</v>
      </c>
      <c r="K17" s="7" t="s">
        <v>31</v>
      </c>
      <c r="L17" s="7" t="s">
        <v>61</v>
      </c>
    </row>
    <row r="18" spans="1:12" x14ac:dyDescent="0.25">
      <c r="A18" s="7">
        <v>91953084000025</v>
      </c>
      <c r="B18" s="7" t="s">
        <v>50</v>
      </c>
      <c r="C18" s="7" t="s">
        <v>33</v>
      </c>
      <c r="D18" s="37">
        <v>46241</v>
      </c>
      <c r="E18" s="7" t="s">
        <v>76</v>
      </c>
      <c r="F18" s="7"/>
      <c r="G18" s="7"/>
      <c r="H18" s="7"/>
      <c r="I18" s="7"/>
      <c r="J18" s="7" t="s">
        <v>96</v>
      </c>
      <c r="K18" s="7" t="s">
        <v>31</v>
      </c>
      <c r="L18" s="7" t="s">
        <v>62</v>
      </c>
    </row>
    <row r="19" spans="1:12" x14ac:dyDescent="0.25">
      <c r="A19" s="7">
        <v>69715004300027</v>
      </c>
      <c r="B19" s="7" t="s">
        <v>51</v>
      </c>
      <c r="C19" s="7" t="s">
        <v>33</v>
      </c>
      <c r="D19" s="37">
        <v>46241</v>
      </c>
      <c r="E19" s="7" t="s">
        <v>76</v>
      </c>
      <c r="F19" s="7"/>
      <c r="G19" s="7"/>
      <c r="H19" s="7"/>
      <c r="I19" s="7"/>
      <c r="J19" s="7" t="s">
        <v>65</v>
      </c>
      <c r="K19" s="7" t="s">
        <v>31</v>
      </c>
      <c r="L19" s="7" t="s">
        <v>62</v>
      </c>
    </row>
    <row r="20" spans="1:12" x14ac:dyDescent="0.25">
      <c r="A20" s="7">
        <v>90481478700019</v>
      </c>
      <c r="B20" s="7" t="s">
        <v>52</v>
      </c>
      <c r="C20" s="7" t="s">
        <v>33</v>
      </c>
      <c r="D20" s="37">
        <v>46241</v>
      </c>
      <c r="E20" s="7">
        <v>70031595518784</v>
      </c>
      <c r="F20" s="7">
        <v>227949401753</v>
      </c>
      <c r="G20" s="7" t="s">
        <v>71</v>
      </c>
      <c r="H20" s="7" t="s">
        <v>88</v>
      </c>
      <c r="I20" s="7" t="s">
        <v>75</v>
      </c>
      <c r="J20" s="7" t="s">
        <v>65</v>
      </c>
      <c r="K20" s="7" t="s">
        <v>31</v>
      </c>
      <c r="L20" s="7" t="s">
        <v>64</v>
      </c>
    </row>
    <row r="21" spans="1:12" x14ac:dyDescent="0.25">
      <c r="A21" s="7">
        <v>93455056700010</v>
      </c>
      <c r="B21" s="7" t="s">
        <v>53</v>
      </c>
      <c r="C21" s="7" t="s">
        <v>33</v>
      </c>
      <c r="D21" s="37">
        <v>46241</v>
      </c>
      <c r="E21" s="7">
        <v>70031597809641</v>
      </c>
      <c r="F21" s="7">
        <v>227949401654</v>
      </c>
      <c r="G21" s="7" t="s">
        <v>71</v>
      </c>
      <c r="H21" s="7" t="s">
        <v>89</v>
      </c>
      <c r="I21" s="7" t="s">
        <v>75</v>
      </c>
      <c r="J21" s="7" t="s">
        <v>65</v>
      </c>
      <c r="K21" s="7" t="s">
        <v>31</v>
      </c>
      <c r="L21" s="7" t="s">
        <v>64</v>
      </c>
    </row>
    <row r="22" spans="1:12" x14ac:dyDescent="0.25">
      <c r="A22" s="7">
        <v>99317687400010</v>
      </c>
      <c r="B22" s="7" t="s">
        <v>54</v>
      </c>
      <c r="C22" s="7" t="s">
        <v>33</v>
      </c>
      <c r="D22" s="37">
        <v>46241</v>
      </c>
      <c r="E22" s="7">
        <v>70031599014912</v>
      </c>
      <c r="F22" s="7">
        <v>227949401954</v>
      </c>
      <c r="G22" s="7" t="s">
        <v>71</v>
      </c>
      <c r="H22" s="7" t="s">
        <v>90</v>
      </c>
      <c r="I22" s="7" t="s">
        <v>75</v>
      </c>
      <c r="J22" s="7" t="s">
        <v>97</v>
      </c>
      <c r="K22" s="7" t="s">
        <v>31</v>
      </c>
      <c r="L22" s="7" t="s">
        <v>64</v>
      </c>
    </row>
    <row r="23" spans="1:12" x14ac:dyDescent="0.25">
      <c r="A23" s="7">
        <v>41766776300052</v>
      </c>
      <c r="B23" s="7" t="s">
        <v>105</v>
      </c>
      <c r="C23" s="7" t="s">
        <v>375</v>
      </c>
      <c r="D23" s="37"/>
      <c r="E23" s="7">
        <v>70031504974500</v>
      </c>
      <c r="F23" s="7">
        <v>227849401555</v>
      </c>
      <c r="G23" s="7" t="s">
        <v>71</v>
      </c>
      <c r="H23" s="7" t="s">
        <v>207</v>
      </c>
      <c r="I23" s="7" t="s">
        <v>73</v>
      </c>
      <c r="J23" s="7" t="s">
        <v>244</v>
      </c>
      <c r="K23" t="s">
        <v>376</v>
      </c>
      <c r="L23" s="7" t="s">
        <v>55</v>
      </c>
    </row>
    <row r="24" spans="1:12" x14ac:dyDescent="0.25">
      <c r="A24" s="7">
        <v>34451758600055</v>
      </c>
      <c r="B24" s="7" t="s">
        <v>106</v>
      </c>
      <c r="C24" s="7" t="s">
        <v>375</v>
      </c>
      <c r="D24" s="37"/>
      <c r="E24" s="7">
        <v>70031534827309</v>
      </c>
      <c r="F24" s="7">
        <v>227849401458</v>
      </c>
      <c r="G24" s="7" t="s">
        <v>71</v>
      </c>
      <c r="H24" s="7" t="s">
        <v>208</v>
      </c>
      <c r="I24" s="7" t="s">
        <v>73</v>
      </c>
      <c r="J24" s="7" t="s">
        <v>245</v>
      </c>
      <c r="K24" t="s">
        <v>376</v>
      </c>
      <c r="L24" s="7" t="s">
        <v>55</v>
      </c>
    </row>
    <row r="25" spans="1:12" x14ac:dyDescent="0.25">
      <c r="A25" s="7">
        <v>31789755100048</v>
      </c>
      <c r="B25" s="7" t="s">
        <v>107</v>
      </c>
      <c r="C25" s="7" t="s">
        <v>375</v>
      </c>
      <c r="D25" s="37"/>
      <c r="E25" s="7">
        <v>70031508080427</v>
      </c>
      <c r="F25" s="7">
        <v>227849401156</v>
      </c>
      <c r="G25" s="7" t="s">
        <v>71</v>
      </c>
      <c r="H25" s="7" t="s">
        <v>209</v>
      </c>
      <c r="I25" s="7" t="s">
        <v>73</v>
      </c>
      <c r="J25" s="7" t="s">
        <v>246</v>
      </c>
      <c r="K25" t="s">
        <v>376</v>
      </c>
      <c r="L25" s="7" t="s">
        <v>55</v>
      </c>
    </row>
    <row r="26" spans="1:12" x14ac:dyDescent="0.25">
      <c r="A26" s="7">
        <v>79937805400073</v>
      </c>
      <c r="B26" s="7" t="s">
        <v>108</v>
      </c>
      <c r="C26" s="7" t="s">
        <v>375</v>
      </c>
      <c r="D26" s="37"/>
      <c r="E26" s="7" t="s">
        <v>76</v>
      </c>
      <c r="F26" s="7"/>
      <c r="G26" s="7"/>
      <c r="H26" s="7"/>
      <c r="I26" s="7"/>
      <c r="J26" s="7" t="s">
        <v>247</v>
      </c>
      <c r="K26" t="s">
        <v>376</v>
      </c>
      <c r="L26" s="7" t="s">
        <v>55</v>
      </c>
    </row>
    <row r="27" spans="1:12" x14ac:dyDescent="0.25">
      <c r="A27" s="7">
        <v>39047163900034</v>
      </c>
      <c r="B27" s="7" t="s">
        <v>109</v>
      </c>
      <c r="C27" s="7" t="s">
        <v>375</v>
      </c>
      <c r="D27" s="37"/>
      <c r="E27" s="7" t="s">
        <v>76</v>
      </c>
      <c r="F27" s="7"/>
      <c r="G27" s="7"/>
      <c r="H27" s="7"/>
      <c r="I27" s="7"/>
      <c r="J27" s="7" t="s">
        <v>248</v>
      </c>
      <c r="K27" t="s">
        <v>376</v>
      </c>
      <c r="L27" s="7" t="s">
        <v>55</v>
      </c>
    </row>
    <row r="28" spans="1:12" x14ac:dyDescent="0.25">
      <c r="A28" s="7">
        <v>53113487200013</v>
      </c>
      <c r="B28" s="7" t="s">
        <v>110</v>
      </c>
      <c r="C28" s="7" t="s">
        <v>375</v>
      </c>
      <c r="D28" s="37"/>
      <c r="E28" s="7">
        <v>70031537241029</v>
      </c>
      <c r="F28" s="7">
        <v>227849401858</v>
      </c>
      <c r="G28" s="7" t="s">
        <v>71</v>
      </c>
      <c r="H28" s="7" t="s">
        <v>210</v>
      </c>
      <c r="I28" s="7" t="s">
        <v>73</v>
      </c>
      <c r="J28" s="7" t="s">
        <v>249</v>
      </c>
      <c r="K28" t="s">
        <v>376</v>
      </c>
      <c r="L28" s="7" t="s">
        <v>55</v>
      </c>
    </row>
    <row r="29" spans="1:12" x14ac:dyDescent="0.25">
      <c r="A29" s="7">
        <v>45197328300034</v>
      </c>
      <c r="B29" s="7" t="s">
        <v>111</v>
      </c>
      <c r="C29" s="7" t="s">
        <v>375</v>
      </c>
      <c r="D29" s="37"/>
      <c r="E29" s="7">
        <v>70031539140737</v>
      </c>
      <c r="F29" s="7">
        <v>227849401359</v>
      </c>
      <c r="G29" s="7" t="s">
        <v>71</v>
      </c>
      <c r="H29" s="7" t="s">
        <v>211</v>
      </c>
      <c r="I29" s="7" t="s">
        <v>73</v>
      </c>
      <c r="J29" s="7" t="s">
        <v>250</v>
      </c>
      <c r="K29" t="s">
        <v>376</v>
      </c>
      <c r="L29" s="7" t="s">
        <v>55</v>
      </c>
    </row>
    <row r="30" spans="1:12" x14ac:dyDescent="0.25">
      <c r="A30" s="7">
        <v>92069517800011</v>
      </c>
      <c r="B30" s="7" t="s">
        <v>112</v>
      </c>
      <c r="C30" s="7" t="s">
        <v>375</v>
      </c>
      <c r="D30" s="37"/>
      <c r="E30" s="7" t="s">
        <v>76</v>
      </c>
      <c r="F30" s="7"/>
      <c r="G30" s="7"/>
      <c r="H30" s="7"/>
      <c r="I30" s="7"/>
      <c r="J30" s="7" t="s">
        <v>251</v>
      </c>
      <c r="K30" t="s">
        <v>376</v>
      </c>
      <c r="L30" s="7" t="s">
        <v>55</v>
      </c>
    </row>
    <row r="31" spans="1:12" x14ac:dyDescent="0.25">
      <c r="A31" s="7">
        <v>33049524300025</v>
      </c>
      <c r="B31" s="7" t="s">
        <v>113</v>
      </c>
      <c r="C31" s="7" t="s">
        <v>375</v>
      </c>
      <c r="D31" s="37"/>
      <c r="E31" s="7" t="s">
        <v>212</v>
      </c>
      <c r="F31" s="7"/>
      <c r="G31" s="7"/>
      <c r="H31" s="7"/>
      <c r="I31" s="7"/>
      <c r="J31" s="7" t="s">
        <v>252</v>
      </c>
      <c r="K31" t="s">
        <v>376</v>
      </c>
      <c r="L31" s="7" t="s">
        <v>55</v>
      </c>
    </row>
    <row r="32" spans="1:12" x14ac:dyDescent="0.25">
      <c r="A32" s="7">
        <v>42140281900039</v>
      </c>
      <c r="B32" s="7" t="s">
        <v>114</v>
      </c>
      <c r="C32" s="7" t="s">
        <v>375</v>
      </c>
      <c r="D32" s="37"/>
      <c r="E32" s="7" t="s">
        <v>76</v>
      </c>
      <c r="F32" s="7"/>
      <c r="G32" s="7"/>
      <c r="H32" s="7"/>
      <c r="I32" s="7"/>
      <c r="J32" s="7" t="s">
        <v>253</v>
      </c>
      <c r="K32" t="s">
        <v>376</v>
      </c>
      <c r="L32" s="7" t="s">
        <v>55</v>
      </c>
    </row>
    <row r="33" spans="1:12" x14ac:dyDescent="0.25">
      <c r="A33" s="7">
        <v>34774750300030</v>
      </c>
      <c r="B33" s="7" t="s">
        <v>115</v>
      </c>
      <c r="C33" s="7" t="s">
        <v>375</v>
      </c>
      <c r="D33" s="37"/>
      <c r="E33" s="7">
        <v>70031541101338</v>
      </c>
      <c r="F33" s="7">
        <v>227849401759</v>
      </c>
      <c r="G33" s="7" t="s">
        <v>71</v>
      </c>
      <c r="H33" s="7" t="s">
        <v>213</v>
      </c>
      <c r="I33" s="7" t="s">
        <v>73</v>
      </c>
      <c r="J33" s="7" t="s">
        <v>254</v>
      </c>
      <c r="K33" t="s">
        <v>376</v>
      </c>
      <c r="L33" s="7" t="s">
        <v>55</v>
      </c>
    </row>
    <row r="34" spans="1:12" x14ac:dyDescent="0.25">
      <c r="A34" s="7">
        <v>53510510000023</v>
      </c>
      <c r="B34" s="7" t="s">
        <v>116</v>
      </c>
      <c r="C34" s="7" t="s">
        <v>375</v>
      </c>
      <c r="D34" s="37"/>
      <c r="E34" s="7" t="s">
        <v>76</v>
      </c>
      <c r="F34" s="7"/>
      <c r="G34" s="7"/>
      <c r="H34" s="7"/>
      <c r="I34" s="7"/>
      <c r="J34" s="7" t="s">
        <v>255</v>
      </c>
      <c r="K34" t="s">
        <v>376</v>
      </c>
      <c r="L34" s="7" t="s">
        <v>55</v>
      </c>
    </row>
    <row r="35" spans="1:12" x14ac:dyDescent="0.25">
      <c r="A35" s="7">
        <v>52320960900024</v>
      </c>
      <c r="B35" s="7" t="s">
        <v>117</v>
      </c>
      <c r="C35" s="7" t="s">
        <v>375</v>
      </c>
      <c r="D35" s="37"/>
      <c r="E35" s="7">
        <v>70031543000971</v>
      </c>
      <c r="F35" s="7">
        <v>227949401250</v>
      </c>
      <c r="G35" s="7" t="s">
        <v>71</v>
      </c>
      <c r="H35" s="7" t="s">
        <v>214</v>
      </c>
      <c r="I35" s="7" t="s">
        <v>73</v>
      </c>
      <c r="J35" s="7" t="s">
        <v>256</v>
      </c>
      <c r="K35" t="s">
        <v>376</v>
      </c>
      <c r="L35" s="7" t="s">
        <v>55</v>
      </c>
    </row>
    <row r="36" spans="1:12" x14ac:dyDescent="0.25">
      <c r="A36" s="7">
        <v>52253424700013</v>
      </c>
      <c r="B36" s="7" t="s">
        <v>118</v>
      </c>
      <c r="C36" s="7" t="s">
        <v>375</v>
      </c>
      <c r="D36" s="37"/>
      <c r="E36" s="7">
        <v>70031544110035</v>
      </c>
      <c r="F36" s="7">
        <v>227949401350</v>
      </c>
      <c r="G36" s="7" t="s">
        <v>71</v>
      </c>
      <c r="H36" s="7" t="s">
        <v>215</v>
      </c>
      <c r="I36" s="7"/>
      <c r="J36" s="7" t="s">
        <v>257</v>
      </c>
      <c r="K36" t="s">
        <v>376</v>
      </c>
      <c r="L36" s="7" t="s">
        <v>55</v>
      </c>
    </row>
    <row r="37" spans="1:12" x14ac:dyDescent="0.25">
      <c r="A37" s="7">
        <v>50221609600045</v>
      </c>
      <c r="B37" s="7" t="s">
        <v>119</v>
      </c>
      <c r="C37" s="7" t="s">
        <v>375</v>
      </c>
      <c r="D37" s="37"/>
      <c r="E37" s="7" t="s">
        <v>76</v>
      </c>
      <c r="F37" s="7"/>
      <c r="G37" s="7"/>
      <c r="H37" s="7"/>
      <c r="I37" s="7"/>
      <c r="J37" s="7" t="s">
        <v>258</v>
      </c>
      <c r="K37" t="s">
        <v>376</v>
      </c>
      <c r="L37" s="7" t="s">
        <v>55</v>
      </c>
    </row>
    <row r="38" spans="1:12" x14ac:dyDescent="0.25">
      <c r="A38" s="7">
        <v>74981685600043</v>
      </c>
      <c r="B38" s="7" t="s">
        <v>120</v>
      </c>
      <c r="C38" s="7" t="s">
        <v>375</v>
      </c>
      <c r="D38" s="37"/>
      <c r="E38" s="7" t="s">
        <v>216</v>
      </c>
      <c r="F38" s="7"/>
      <c r="G38" s="7"/>
      <c r="H38" s="7"/>
      <c r="I38" s="7"/>
      <c r="J38" s="7" t="s">
        <v>259</v>
      </c>
      <c r="K38" t="s">
        <v>376</v>
      </c>
      <c r="L38" s="7" t="s">
        <v>57</v>
      </c>
    </row>
    <row r="39" spans="1:12" x14ac:dyDescent="0.25">
      <c r="A39" s="7">
        <v>79417327800027</v>
      </c>
      <c r="B39" s="7" t="s">
        <v>121</v>
      </c>
      <c r="C39" s="7" t="s">
        <v>375</v>
      </c>
      <c r="D39" s="37"/>
      <c r="E39" s="7">
        <v>70031512747936</v>
      </c>
      <c r="F39" s="7">
        <v>227849401556</v>
      </c>
      <c r="G39" s="7" t="s">
        <v>71</v>
      </c>
      <c r="H39" s="7" t="s">
        <v>217</v>
      </c>
      <c r="I39" s="7" t="s">
        <v>75</v>
      </c>
      <c r="J39" s="7" t="s">
        <v>260</v>
      </c>
      <c r="K39" t="s">
        <v>376</v>
      </c>
      <c r="L39" s="7" t="s">
        <v>57</v>
      </c>
    </row>
    <row r="40" spans="1:12" x14ac:dyDescent="0.25">
      <c r="A40" s="7">
        <v>47876369100035</v>
      </c>
      <c r="B40" s="7" t="s">
        <v>122</v>
      </c>
      <c r="C40" s="7" t="s">
        <v>375</v>
      </c>
      <c r="D40" s="37"/>
      <c r="E40" s="7">
        <v>70031520084406</v>
      </c>
      <c r="F40" s="7">
        <v>227849401257</v>
      </c>
      <c r="G40" s="7" t="s">
        <v>71</v>
      </c>
      <c r="H40" s="7" t="s">
        <v>218</v>
      </c>
      <c r="I40" s="7" t="s">
        <v>75</v>
      </c>
      <c r="J40" s="7" t="s">
        <v>261</v>
      </c>
      <c r="K40" t="s">
        <v>376</v>
      </c>
      <c r="L40" s="7" t="s">
        <v>57</v>
      </c>
    </row>
    <row r="41" spans="1:12" x14ac:dyDescent="0.25">
      <c r="A41" s="7">
        <v>33025346900036</v>
      </c>
      <c r="B41" s="7" t="s">
        <v>123</v>
      </c>
      <c r="C41" s="7" t="s">
        <v>375</v>
      </c>
      <c r="D41" s="37"/>
      <c r="E41" s="7" t="s">
        <v>219</v>
      </c>
      <c r="F41" s="7"/>
      <c r="G41" s="7"/>
      <c r="H41" s="7"/>
      <c r="I41" s="7"/>
      <c r="J41" s="7" t="s">
        <v>262</v>
      </c>
      <c r="K41" t="s">
        <v>376</v>
      </c>
      <c r="L41" s="7" t="s">
        <v>57</v>
      </c>
    </row>
    <row r="42" spans="1:12" x14ac:dyDescent="0.25">
      <c r="A42" s="7">
        <v>76120077300015</v>
      </c>
      <c r="B42" s="7" t="s">
        <v>124</v>
      </c>
      <c r="C42" s="7" t="s">
        <v>375</v>
      </c>
      <c r="D42" s="37"/>
      <c r="E42" s="7">
        <v>70031535654657</v>
      </c>
      <c r="F42" s="7">
        <v>227849401558</v>
      </c>
      <c r="G42" s="7" t="s">
        <v>71</v>
      </c>
      <c r="H42" s="7" t="s">
        <v>220</v>
      </c>
      <c r="I42" s="7" t="s">
        <v>75</v>
      </c>
      <c r="J42" s="7" t="s">
        <v>263</v>
      </c>
      <c r="K42" t="s">
        <v>376</v>
      </c>
      <c r="L42" s="7" t="s">
        <v>57</v>
      </c>
    </row>
    <row r="43" spans="1:12" x14ac:dyDescent="0.25">
      <c r="A43" s="7">
        <v>43821718400045</v>
      </c>
      <c r="B43" s="7" t="s">
        <v>125</v>
      </c>
      <c r="C43" s="7" t="s">
        <v>375</v>
      </c>
      <c r="D43" s="37"/>
      <c r="E43" s="7">
        <v>70031539542230</v>
      </c>
      <c r="F43" s="7">
        <v>227849401559</v>
      </c>
      <c r="G43" s="7" t="s">
        <v>71</v>
      </c>
      <c r="H43" s="7" t="s">
        <v>221</v>
      </c>
      <c r="I43" s="7" t="s">
        <v>75</v>
      </c>
      <c r="J43" s="7" t="s">
        <v>264</v>
      </c>
      <c r="K43" t="s">
        <v>376</v>
      </c>
      <c r="L43" s="7" t="s">
        <v>57</v>
      </c>
    </row>
    <row r="44" spans="1:12" x14ac:dyDescent="0.25">
      <c r="A44" s="7">
        <v>40825713700047</v>
      </c>
      <c r="B44" s="7" t="s">
        <v>126</v>
      </c>
      <c r="C44" s="7" t="s">
        <v>375</v>
      </c>
      <c r="D44" s="37"/>
      <c r="E44" s="7">
        <v>70031544802778</v>
      </c>
      <c r="F44" s="7">
        <v>227949401750</v>
      </c>
      <c r="G44" s="7" t="s">
        <v>71</v>
      </c>
      <c r="H44" s="7" t="s">
        <v>222</v>
      </c>
      <c r="I44" s="7" t="s">
        <v>75</v>
      </c>
      <c r="J44" s="7" t="s">
        <v>265</v>
      </c>
      <c r="K44" t="s">
        <v>376</v>
      </c>
      <c r="L44" s="7" t="s">
        <v>57</v>
      </c>
    </row>
    <row r="45" spans="1:12" x14ac:dyDescent="0.25">
      <c r="A45" s="7">
        <v>44338869900037</v>
      </c>
      <c r="B45" s="7" t="s">
        <v>127</v>
      </c>
      <c r="C45" s="7" t="s">
        <v>375</v>
      </c>
      <c r="D45" s="37"/>
      <c r="E45" s="7" t="s">
        <v>223</v>
      </c>
      <c r="F45" s="7">
        <v>227949401951</v>
      </c>
      <c r="G45" s="7" t="s">
        <v>71</v>
      </c>
      <c r="H45" s="7" t="s">
        <v>224</v>
      </c>
      <c r="I45" s="7" t="s">
        <v>75</v>
      </c>
      <c r="J45" s="7" t="s">
        <v>266</v>
      </c>
      <c r="K45" t="s">
        <v>376</v>
      </c>
      <c r="L45" s="7" t="s">
        <v>57</v>
      </c>
    </row>
    <row r="46" spans="1:12" x14ac:dyDescent="0.25">
      <c r="A46" s="7">
        <v>31675497700023</v>
      </c>
      <c r="B46" s="7" t="s">
        <v>128</v>
      </c>
      <c r="C46" s="7" t="s">
        <v>375</v>
      </c>
      <c r="D46" s="37"/>
      <c r="E46" s="7" t="s">
        <v>216</v>
      </c>
      <c r="F46" s="7"/>
      <c r="G46" s="7"/>
      <c r="H46" s="7"/>
      <c r="I46" s="7"/>
      <c r="J46" s="7" t="s">
        <v>267</v>
      </c>
      <c r="K46" t="s">
        <v>376</v>
      </c>
      <c r="L46" s="7" t="s">
        <v>57</v>
      </c>
    </row>
    <row r="47" spans="1:12" x14ac:dyDescent="0.25">
      <c r="A47" s="7">
        <v>42126398900020</v>
      </c>
      <c r="B47" s="7" t="s">
        <v>129</v>
      </c>
      <c r="C47" s="7" t="s">
        <v>375</v>
      </c>
      <c r="D47" s="37"/>
      <c r="E47" s="7">
        <v>70031560219260</v>
      </c>
      <c r="F47" s="7">
        <v>227949401852</v>
      </c>
      <c r="G47" s="7" t="s">
        <v>71</v>
      </c>
      <c r="H47" s="7" t="s">
        <v>225</v>
      </c>
      <c r="I47" s="7" t="s">
        <v>75</v>
      </c>
      <c r="J47" s="7" t="s">
        <v>268</v>
      </c>
      <c r="K47" t="s">
        <v>376</v>
      </c>
      <c r="L47" s="7" t="s">
        <v>57</v>
      </c>
    </row>
    <row r="48" spans="1:12" x14ac:dyDescent="0.25">
      <c r="A48" s="7">
        <v>35032902500042</v>
      </c>
      <c r="B48" s="7" t="s">
        <v>130</v>
      </c>
      <c r="C48" s="7" t="s">
        <v>375</v>
      </c>
      <c r="D48" s="37"/>
      <c r="E48" s="7" t="s">
        <v>216</v>
      </c>
      <c r="F48" s="7"/>
      <c r="G48" s="7"/>
      <c r="H48" s="7"/>
      <c r="I48" s="7"/>
      <c r="J48" s="7" t="s">
        <v>269</v>
      </c>
      <c r="K48" t="s">
        <v>376</v>
      </c>
      <c r="L48" s="7" t="s">
        <v>57</v>
      </c>
    </row>
    <row r="49" spans="1:12" x14ac:dyDescent="0.25">
      <c r="A49" s="7">
        <v>38335951001284</v>
      </c>
      <c r="B49" s="7" t="s">
        <v>131</v>
      </c>
      <c r="C49" s="7" t="s">
        <v>375</v>
      </c>
      <c r="D49" s="37"/>
      <c r="E49" s="7">
        <v>70031569467913</v>
      </c>
      <c r="F49" s="7">
        <v>227949401253</v>
      </c>
      <c r="G49" s="7" t="s">
        <v>71</v>
      </c>
      <c r="H49" s="7" t="s">
        <v>226</v>
      </c>
      <c r="I49" s="7" t="s">
        <v>75</v>
      </c>
      <c r="J49" s="7" t="s">
        <v>270</v>
      </c>
      <c r="K49" t="s">
        <v>376</v>
      </c>
      <c r="L49" s="7" t="s">
        <v>57</v>
      </c>
    </row>
    <row r="50" spans="1:12" x14ac:dyDescent="0.25">
      <c r="A50" s="7">
        <v>35132272200064</v>
      </c>
      <c r="B50" s="7" t="s">
        <v>132</v>
      </c>
      <c r="C50" s="7" t="s">
        <v>375</v>
      </c>
      <c r="D50" s="37"/>
      <c r="E50" s="7">
        <v>70031573086747</v>
      </c>
      <c r="F50" s="7">
        <v>227949401353</v>
      </c>
      <c r="G50" s="7" t="s">
        <v>71</v>
      </c>
      <c r="H50" s="7" t="s">
        <v>227</v>
      </c>
      <c r="I50" s="7" t="s">
        <v>75</v>
      </c>
      <c r="J50" s="7" t="s">
        <v>271</v>
      </c>
      <c r="K50" t="s">
        <v>376</v>
      </c>
      <c r="L50" s="7" t="s">
        <v>57</v>
      </c>
    </row>
    <row r="51" spans="1:12" x14ac:dyDescent="0.25">
      <c r="A51" s="7">
        <v>35132272200064</v>
      </c>
      <c r="B51" s="7" t="s">
        <v>133</v>
      </c>
      <c r="C51" s="7" t="s">
        <v>375</v>
      </c>
      <c r="D51" s="37"/>
      <c r="E51" s="7">
        <v>70031573086747</v>
      </c>
      <c r="F51" s="7">
        <v>227949401353</v>
      </c>
      <c r="G51" s="7" t="s">
        <v>71</v>
      </c>
      <c r="H51" s="7" t="s">
        <v>227</v>
      </c>
      <c r="I51" s="7" t="s">
        <v>75</v>
      </c>
      <c r="J51" s="7" t="s">
        <v>272</v>
      </c>
      <c r="K51" t="s">
        <v>376</v>
      </c>
      <c r="L51" s="7" t="s">
        <v>57</v>
      </c>
    </row>
    <row r="52" spans="1:12" x14ac:dyDescent="0.25">
      <c r="A52" s="7">
        <v>38821746500045</v>
      </c>
      <c r="B52" s="7" t="s">
        <v>134</v>
      </c>
      <c r="C52" s="7" t="s">
        <v>375</v>
      </c>
      <c r="D52" s="37"/>
      <c r="E52" s="7">
        <v>70031506137590</v>
      </c>
      <c r="F52" s="7">
        <v>227849401755</v>
      </c>
      <c r="G52" s="7" t="s">
        <v>71</v>
      </c>
      <c r="H52" s="7" t="s">
        <v>228</v>
      </c>
      <c r="I52" s="7" t="s">
        <v>75</v>
      </c>
      <c r="J52" s="7" t="s">
        <v>273</v>
      </c>
      <c r="K52" t="s">
        <v>376</v>
      </c>
      <c r="L52" s="7" t="s">
        <v>58</v>
      </c>
    </row>
    <row r="53" spans="1:12" x14ac:dyDescent="0.25">
      <c r="A53" s="7">
        <v>30778703600051</v>
      </c>
      <c r="B53" s="7" t="s">
        <v>135</v>
      </c>
      <c r="C53" s="7" t="s">
        <v>375</v>
      </c>
      <c r="D53" s="37"/>
      <c r="E53" s="7">
        <v>70031513617190</v>
      </c>
      <c r="F53" s="7">
        <v>227849401656</v>
      </c>
      <c r="G53" s="7" t="s">
        <v>71</v>
      </c>
      <c r="H53" s="7" t="s">
        <v>229</v>
      </c>
      <c r="I53" s="7" t="s">
        <v>73</v>
      </c>
      <c r="J53" s="7" t="s">
        <v>274</v>
      </c>
      <c r="K53" t="s">
        <v>376</v>
      </c>
      <c r="L53" s="7" t="s">
        <v>58</v>
      </c>
    </row>
    <row r="54" spans="1:12" x14ac:dyDescent="0.25">
      <c r="A54" s="7">
        <v>44348571900050</v>
      </c>
      <c r="B54" s="7" t="s">
        <v>136</v>
      </c>
      <c r="C54" s="7" t="s">
        <v>375</v>
      </c>
      <c r="D54" s="37"/>
      <c r="E54" s="7" t="s">
        <v>216</v>
      </c>
      <c r="F54" s="7"/>
      <c r="G54" s="7"/>
      <c r="H54" s="7"/>
      <c r="I54" s="7"/>
      <c r="J54" s="7" t="s">
        <v>275</v>
      </c>
      <c r="K54" t="s">
        <v>376</v>
      </c>
      <c r="L54" s="7" t="s">
        <v>58</v>
      </c>
    </row>
    <row r="55" spans="1:12" x14ac:dyDescent="0.25">
      <c r="A55" s="7">
        <v>79469851400039</v>
      </c>
      <c r="B55" s="7" t="s">
        <v>137</v>
      </c>
      <c r="C55" s="7" t="s">
        <v>375</v>
      </c>
      <c r="D55" s="37"/>
      <c r="E55" s="7" t="s">
        <v>216</v>
      </c>
      <c r="F55" s="7"/>
      <c r="G55" s="7"/>
      <c r="H55" s="7"/>
      <c r="I55" s="7"/>
      <c r="J55" s="7" t="s">
        <v>276</v>
      </c>
      <c r="K55" t="s">
        <v>376</v>
      </c>
      <c r="L55" s="7" t="s">
        <v>58</v>
      </c>
    </row>
    <row r="56" spans="1:12" x14ac:dyDescent="0.25">
      <c r="A56" s="7">
        <v>49360407800045</v>
      </c>
      <c r="B56" s="7" t="s">
        <v>138</v>
      </c>
      <c r="C56" s="7" t="s">
        <v>375</v>
      </c>
      <c r="D56" s="37"/>
      <c r="E56" s="7" t="s">
        <v>216</v>
      </c>
      <c r="F56" s="7"/>
      <c r="G56" s="7"/>
      <c r="H56" s="7"/>
      <c r="I56" s="7"/>
      <c r="J56" s="7" t="s">
        <v>277</v>
      </c>
      <c r="K56" t="s">
        <v>376</v>
      </c>
      <c r="L56" s="7" t="s">
        <v>58</v>
      </c>
    </row>
    <row r="57" spans="1:12" x14ac:dyDescent="0.25">
      <c r="A57" s="7">
        <v>49157149300023</v>
      </c>
      <c r="B57" s="7" t="s">
        <v>139</v>
      </c>
      <c r="C57" s="7" t="s">
        <v>375</v>
      </c>
      <c r="D57" s="37"/>
      <c r="E57" s="7">
        <v>70031535294789</v>
      </c>
      <c r="F57" s="7">
        <v>227849401758</v>
      </c>
      <c r="G57" s="7" t="s">
        <v>71</v>
      </c>
      <c r="H57" s="7" t="s">
        <v>230</v>
      </c>
      <c r="I57" s="7" t="s">
        <v>75</v>
      </c>
      <c r="J57" s="7" t="s">
        <v>278</v>
      </c>
      <c r="K57" t="s">
        <v>376</v>
      </c>
      <c r="L57" s="7" t="s">
        <v>58</v>
      </c>
    </row>
    <row r="58" spans="1:12" x14ac:dyDescent="0.25">
      <c r="A58" s="7">
        <v>49333463500106</v>
      </c>
      <c r="B58" s="7" t="s">
        <v>140</v>
      </c>
      <c r="C58" s="7" t="s">
        <v>375</v>
      </c>
      <c r="D58" s="37"/>
      <c r="E58" s="7">
        <v>70031542423067</v>
      </c>
      <c r="F58" s="7">
        <v>227849401959</v>
      </c>
      <c r="G58" s="7" t="s">
        <v>71</v>
      </c>
      <c r="H58" s="7" t="s">
        <v>231</v>
      </c>
      <c r="I58" s="7" t="s">
        <v>75</v>
      </c>
      <c r="J58" s="7" t="s">
        <v>279</v>
      </c>
      <c r="K58" t="s">
        <v>376</v>
      </c>
      <c r="L58" s="7" t="s">
        <v>58</v>
      </c>
    </row>
    <row r="59" spans="1:12" x14ac:dyDescent="0.25">
      <c r="A59" s="7">
        <v>38423665900072</v>
      </c>
      <c r="B59" s="7" t="s">
        <v>141</v>
      </c>
      <c r="C59" s="7" t="s">
        <v>375</v>
      </c>
      <c r="D59" s="37"/>
      <c r="E59" s="7" t="s">
        <v>232</v>
      </c>
      <c r="F59" s="7"/>
      <c r="G59" s="7"/>
      <c r="H59" s="7"/>
      <c r="I59" s="7"/>
      <c r="J59" s="7" t="s">
        <v>280</v>
      </c>
      <c r="K59" t="s">
        <v>376</v>
      </c>
      <c r="L59" s="7" t="s">
        <v>58</v>
      </c>
    </row>
    <row r="60" spans="1:12" x14ac:dyDescent="0.25">
      <c r="A60" s="7">
        <v>45314873600029</v>
      </c>
      <c r="B60" s="7" t="s">
        <v>142</v>
      </c>
      <c r="C60" s="7" t="s">
        <v>375</v>
      </c>
      <c r="D60" s="37"/>
      <c r="E60" s="7" t="s">
        <v>216</v>
      </c>
      <c r="F60" s="7"/>
      <c r="G60" s="7"/>
      <c r="H60" s="7"/>
      <c r="I60" s="7"/>
      <c r="J60" s="7" t="s">
        <v>281</v>
      </c>
      <c r="K60" t="s">
        <v>376</v>
      </c>
      <c r="L60" s="7" t="s">
        <v>58</v>
      </c>
    </row>
    <row r="61" spans="1:12" x14ac:dyDescent="0.25">
      <c r="A61" s="7">
        <v>37964940300035</v>
      </c>
      <c r="B61" s="7" t="s">
        <v>143</v>
      </c>
      <c r="C61" s="7" t="s">
        <v>375</v>
      </c>
      <c r="D61" s="37"/>
      <c r="E61" s="7">
        <v>70031544518406</v>
      </c>
      <c r="F61" s="7">
        <v>227949401550</v>
      </c>
      <c r="G61" s="7" t="s">
        <v>71</v>
      </c>
      <c r="H61" s="7" t="s">
        <v>233</v>
      </c>
      <c r="I61" s="7" t="s">
        <v>75</v>
      </c>
      <c r="J61" s="7" t="s">
        <v>282</v>
      </c>
      <c r="K61" t="s">
        <v>376</v>
      </c>
      <c r="L61" s="7" t="s">
        <v>58</v>
      </c>
    </row>
    <row r="62" spans="1:12" x14ac:dyDescent="0.25">
      <c r="A62" s="7">
        <v>41473452500028</v>
      </c>
      <c r="B62" s="7" t="s">
        <v>144</v>
      </c>
      <c r="C62" s="7" t="s">
        <v>375</v>
      </c>
      <c r="D62" s="37"/>
      <c r="E62" s="7">
        <v>70031553650349</v>
      </c>
      <c r="F62" s="7">
        <v>227949401252</v>
      </c>
      <c r="G62" s="7" t="s">
        <v>71</v>
      </c>
      <c r="H62" s="7" t="s">
        <v>234</v>
      </c>
      <c r="I62" s="7" t="s">
        <v>75</v>
      </c>
      <c r="J62" s="7" t="s">
        <v>283</v>
      </c>
      <c r="K62" t="s">
        <v>376</v>
      </c>
      <c r="L62" s="7" t="s">
        <v>58</v>
      </c>
    </row>
    <row r="63" spans="1:12" x14ac:dyDescent="0.25">
      <c r="A63" s="7">
        <v>95750394900035</v>
      </c>
      <c r="B63" s="7" t="s">
        <v>145</v>
      </c>
      <c r="C63" s="7" t="s">
        <v>375</v>
      </c>
      <c r="D63" s="37"/>
      <c r="E63" s="7" t="s">
        <v>235</v>
      </c>
      <c r="F63" s="7"/>
      <c r="G63" s="7"/>
      <c r="H63" s="7"/>
      <c r="I63" s="7"/>
      <c r="J63" s="7" t="s">
        <v>284</v>
      </c>
      <c r="K63" t="s">
        <v>376</v>
      </c>
      <c r="L63" s="7" t="s">
        <v>58</v>
      </c>
    </row>
    <row r="64" spans="1:12" x14ac:dyDescent="0.25">
      <c r="A64" s="7">
        <v>38367918000026</v>
      </c>
      <c r="B64" s="7" t="s">
        <v>146</v>
      </c>
      <c r="C64" s="7" t="s">
        <v>375</v>
      </c>
      <c r="D64" s="37"/>
      <c r="E64" s="7">
        <v>70031557736208</v>
      </c>
      <c r="F64" s="7">
        <v>227949401652</v>
      </c>
      <c r="G64" s="7" t="s">
        <v>71</v>
      </c>
      <c r="H64" s="7" t="s">
        <v>236</v>
      </c>
      <c r="I64" s="7" t="s">
        <v>75</v>
      </c>
      <c r="J64" s="7" t="s">
        <v>285</v>
      </c>
      <c r="K64" t="s">
        <v>376</v>
      </c>
      <c r="L64" s="7" t="s">
        <v>58</v>
      </c>
    </row>
    <row r="65" spans="1:12" x14ac:dyDescent="0.25">
      <c r="A65" s="7">
        <v>50125792700043</v>
      </c>
      <c r="B65" s="7" t="s">
        <v>147</v>
      </c>
      <c r="C65" s="7" t="s">
        <v>375</v>
      </c>
      <c r="D65" s="37"/>
      <c r="E65" s="7">
        <v>70031559643134</v>
      </c>
      <c r="F65" s="7">
        <v>227949401752</v>
      </c>
      <c r="G65" s="7" t="s">
        <v>71</v>
      </c>
      <c r="H65" s="7" t="s">
        <v>237</v>
      </c>
      <c r="I65" s="7" t="s">
        <v>75</v>
      </c>
      <c r="J65" s="7" t="s">
        <v>286</v>
      </c>
      <c r="K65" t="s">
        <v>376</v>
      </c>
      <c r="L65" s="7" t="s">
        <v>58</v>
      </c>
    </row>
    <row r="66" spans="1:12" x14ac:dyDescent="0.25">
      <c r="A66" s="7">
        <v>50947827700064</v>
      </c>
      <c r="B66" s="7" t="s">
        <v>148</v>
      </c>
      <c r="C66" s="7" t="s">
        <v>375</v>
      </c>
      <c r="D66" s="37"/>
      <c r="E66" s="7">
        <v>70031505673228</v>
      </c>
      <c r="F66" s="7">
        <v>227849401655</v>
      </c>
      <c r="G66" s="7" t="s">
        <v>71</v>
      </c>
      <c r="H66" s="7" t="s">
        <v>238</v>
      </c>
      <c r="I66" s="7" t="s">
        <v>75</v>
      </c>
      <c r="J66" s="7" t="s">
        <v>287</v>
      </c>
      <c r="K66" t="s">
        <v>376</v>
      </c>
      <c r="L66" s="7" t="s">
        <v>60</v>
      </c>
    </row>
    <row r="67" spans="1:12" x14ac:dyDescent="0.25">
      <c r="A67" s="7">
        <v>95680282100036</v>
      </c>
      <c r="B67" s="7" t="s">
        <v>149</v>
      </c>
      <c r="C67" s="7" t="s">
        <v>375</v>
      </c>
      <c r="D67" s="37"/>
      <c r="E67" s="7">
        <v>70031511859066</v>
      </c>
      <c r="F67" s="7">
        <v>227849401456</v>
      </c>
      <c r="G67" s="7" t="s">
        <v>71</v>
      </c>
      <c r="H67" s="7" t="s">
        <v>239</v>
      </c>
      <c r="I67" s="7" t="s">
        <v>75</v>
      </c>
      <c r="J67" s="7" t="s">
        <v>288</v>
      </c>
      <c r="K67" t="s">
        <v>376</v>
      </c>
      <c r="L67" s="7" t="s">
        <v>60</v>
      </c>
    </row>
    <row r="68" spans="1:12" x14ac:dyDescent="0.25">
      <c r="A68" s="7">
        <v>91020324900016</v>
      </c>
      <c r="B68" s="7" t="s">
        <v>150</v>
      </c>
      <c r="C68" s="7" t="s">
        <v>375</v>
      </c>
      <c r="D68" s="37"/>
      <c r="E68" s="7">
        <v>70031516056644</v>
      </c>
      <c r="F68" s="7">
        <v>227849401157</v>
      </c>
      <c r="G68" s="7" t="s">
        <v>71</v>
      </c>
      <c r="H68" s="7" t="s">
        <v>240</v>
      </c>
      <c r="I68" s="7" t="s">
        <v>75</v>
      </c>
      <c r="J68" s="7" t="s">
        <v>289</v>
      </c>
      <c r="K68" t="s">
        <v>376</v>
      </c>
      <c r="L68" s="7" t="s">
        <v>60</v>
      </c>
    </row>
    <row r="69" spans="1:12" x14ac:dyDescent="0.25">
      <c r="A69" s="7">
        <v>38335951001367</v>
      </c>
      <c r="B69" s="7" t="s">
        <v>151</v>
      </c>
      <c r="C69" s="7" t="s">
        <v>375</v>
      </c>
      <c r="D69" s="37"/>
      <c r="E69" s="7">
        <v>70031520337306</v>
      </c>
      <c r="F69" s="7">
        <v>227849401357</v>
      </c>
      <c r="G69" s="7" t="s">
        <v>71</v>
      </c>
      <c r="H69" s="7" t="s">
        <v>241</v>
      </c>
      <c r="I69" s="7" t="s">
        <v>75</v>
      </c>
      <c r="J69" s="7" t="s">
        <v>290</v>
      </c>
      <c r="K69" t="s">
        <v>376</v>
      </c>
      <c r="L69" s="7" t="s">
        <v>60</v>
      </c>
    </row>
    <row r="70" spans="1:12" x14ac:dyDescent="0.25">
      <c r="A70" s="7">
        <v>32913278100033</v>
      </c>
      <c r="B70" s="7" t="s">
        <v>152</v>
      </c>
      <c r="C70" s="7" t="s">
        <v>375</v>
      </c>
      <c r="D70" s="37"/>
      <c r="E70" s="7">
        <v>70031534531598</v>
      </c>
      <c r="F70" s="7">
        <v>227849401158</v>
      </c>
      <c r="G70" s="7" t="s">
        <v>71</v>
      </c>
      <c r="H70" s="7" t="s">
        <v>242</v>
      </c>
      <c r="I70" s="7" t="s">
        <v>75</v>
      </c>
      <c r="J70" s="7" t="s">
        <v>291</v>
      </c>
      <c r="K70" t="s">
        <v>376</v>
      </c>
      <c r="L70" s="7" t="s">
        <v>60</v>
      </c>
    </row>
    <row r="71" spans="1:12" x14ac:dyDescent="0.25">
      <c r="A71" s="7">
        <v>80161144300012</v>
      </c>
      <c r="B71" s="7" t="s">
        <v>153</v>
      </c>
      <c r="C71" s="7" t="s">
        <v>375</v>
      </c>
      <c r="D71" s="37"/>
      <c r="E71" s="7">
        <v>70031537462209</v>
      </c>
      <c r="F71" s="7">
        <v>227849401958</v>
      </c>
      <c r="G71" s="7" t="s">
        <v>71</v>
      </c>
      <c r="H71" s="7" t="s">
        <v>243</v>
      </c>
      <c r="I71" s="7" t="s">
        <v>75</v>
      </c>
      <c r="J71" s="7" t="s">
        <v>292</v>
      </c>
      <c r="K71" t="s">
        <v>376</v>
      </c>
      <c r="L71" s="7" t="s">
        <v>60</v>
      </c>
    </row>
    <row r="72" spans="1:12" x14ac:dyDescent="0.25">
      <c r="A72" s="7"/>
      <c r="B72" s="7" t="s">
        <v>154</v>
      </c>
      <c r="C72" s="7" t="s">
        <v>375</v>
      </c>
      <c r="D72" s="37"/>
      <c r="E72" s="7"/>
      <c r="F72" s="7"/>
      <c r="G72" s="7"/>
      <c r="H72" s="7"/>
      <c r="I72" s="7"/>
      <c r="J72" s="7" t="s">
        <v>293</v>
      </c>
      <c r="K72" t="s">
        <v>376</v>
      </c>
      <c r="L72" s="7" t="s">
        <v>60</v>
      </c>
    </row>
    <row r="73" spans="1:12" x14ac:dyDescent="0.25">
      <c r="A73" s="7">
        <v>34265658400014</v>
      </c>
      <c r="B73" s="7" t="s">
        <v>155</v>
      </c>
      <c r="C73" s="7" t="s">
        <v>375</v>
      </c>
      <c r="D73" s="37"/>
      <c r="E73" s="7" t="s">
        <v>76</v>
      </c>
      <c r="F73" s="7"/>
      <c r="G73" s="7"/>
      <c r="H73" s="7"/>
      <c r="I73" s="7"/>
      <c r="J73" s="7" t="s">
        <v>294</v>
      </c>
      <c r="K73" t="s">
        <v>376</v>
      </c>
      <c r="L73" s="7" t="s">
        <v>60</v>
      </c>
    </row>
    <row r="74" spans="1:12" x14ac:dyDescent="0.25">
      <c r="A74" s="7">
        <v>38179818000042</v>
      </c>
      <c r="B74" s="7" t="s">
        <v>156</v>
      </c>
      <c r="C74" s="7" t="s">
        <v>375</v>
      </c>
      <c r="D74" s="37"/>
      <c r="E74" s="7">
        <v>70031544322537</v>
      </c>
      <c r="F74" s="7">
        <v>227949401450</v>
      </c>
      <c r="G74" s="7" t="s">
        <v>71</v>
      </c>
      <c r="H74" s="7" t="s">
        <v>346</v>
      </c>
      <c r="I74" s="7" t="s">
        <v>75</v>
      </c>
      <c r="J74" s="7" t="s">
        <v>295</v>
      </c>
      <c r="K74" t="s">
        <v>376</v>
      </c>
      <c r="L74" s="7" t="s">
        <v>60</v>
      </c>
    </row>
    <row r="75" spans="1:12" x14ac:dyDescent="0.25">
      <c r="A75" s="7">
        <v>80938416700064</v>
      </c>
      <c r="B75" s="7" t="s">
        <v>157</v>
      </c>
      <c r="C75" s="7" t="s">
        <v>375</v>
      </c>
      <c r="D75" s="37"/>
      <c r="E75" s="7" t="s">
        <v>76</v>
      </c>
      <c r="F75" s="7"/>
      <c r="G75" s="7"/>
      <c r="H75" s="7"/>
      <c r="I75" s="7"/>
      <c r="J75" s="7" t="s">
        <v>296</v>
      </c>
      <c r="K75" t="s">
        <v>376</v>
      </c>
      <c r="L75" s="7" t="s">
        <v>60</v>
      </c>
    </row>
    <row r="76" spans="1:12" x14ac:dyDescent="0.25">
      <c r="A76" s="7">
        <v>33009739500025</v>
      </c>
      <c r="B76" s="7" t="s">
        <v>158</v>
      </c>
      <c r="C76" s="7" t="s">
        <v>375</v>
      </c>
      <c r="D76" s="37"/>
      <c r="E76" s="7">
        <v>70031545332835</v>
      </c>
      <c r="F76" s="7">
        <v>227949401850</v>
      </c>
      <c r="G76" s="7" t="s">
        <v>71</v>
      </c>
      <c r="H76" s="7" t="s">
        <v>347</v>
      </c>
      <c r="I76" s="7" t="s">
        <v>75</v>
      </c>
      <c r="J76" s="7" t="s">
        <v>297</v>
      </c>
      <c r="K76" t="s">
        <v>376</v>
      </c>
      <c r="L76" s="7" t="s">
        <v>60</v>
      </c>
    </row>
    <row r="77" spans="1:12" x14ac:dyDescent="0.25">
      <c r="A77" s="7">
        <v>33009739500025</v>
      </c>
      <c r="B77" s="7" t="s">
        <v>159</v>
      </c>
      <c r="C77" s="7" t="s">
        <v>375</v>
      </c>
      <c r="D77" s="37"/>
      <c r="E77" s="7" t="s">
        <v>348</v>
      </c>
      <c r="F77" s="7"/>
      <c r="G77" s="7"/>
      <c r="H77" s="7"/>
      <c r="I77" s="7"/>
      <c r="J77" s="7" t="s">
        <v>298</v>
      </c>
      <c r="K77" t="s">
        <v>376</v>
      </c>
      <c r="L77" s="7" t="s">
        <v>60</v>
      </c>
    </row>
    <row r="78" spans="1:12" x14ac:dyDescent="0.25">
      <c r="A78" s="7">
        <v>33009739500025</v>
      </c>
      <c r="B78" s="7" t="s">
        <v>160</v>
      </c>
      <c r="C78" s="7" t="s">
        <v>375</v>
      </c>
      <c r="D78" s="37"/>
      <c r="E78" s="7" t="s">
        <v>348</v>
      </c>
      <c r="F78" s="7"/>
      <c r="G78" s="7"/>
      <c r="H78" s="7"/>
      <c r="I78" s="7"/>
      <c r="J78" s="7" t="s">
        <v>299</v>
      </c>
      <c r="K78" t="s">
        <v>376</v>
      </c>
      <c r="L78" s="7" t="s">
        <v>60</v>
      </c>
    </row>
    <row r="79" spans="1:12" x14ac:dyDescent="0.25">
      <c r="A79" s="7">
        <v>40229488800027</v>
      </c>
      <c r="B79" s="7" t="s">
        <v>161</v>
      </c>
      <c r="C79" s="7" t="s">
        <v>375</v>
      </c>
      <c r="D79" s="37"/>
      <c r="E79" s="7">
        <v>70031545963486</v>
      </c>
      <c r="F79" s="7">
        <v>227949401651</v>
      </c>
      <c r="G79" s="7" t="s">
        <v>71</v>
      </c>
      <c r="H79" s="7" t="s">
        <v>349</v>
      </c>
      <c r="I79" s="7" t="s">
        <v>75</v>
      </c>
      <c r="J79" s="7" t="s">
        <v>300</v>
      </c>
      <c r="K79" t="s">
        <v>376</v>
      </c>
      <c r="L79" s="7" t="s">
        <v>60</v>
      </c>
    </row>
    <row r="80" spans="1:12" x14ac:dyDescent="0.25">
      <c r="A80" s="7">
        <v>30738996500038</v>
      </c>
      <c r="B80" s="7" t="s">
        <v>162</v>
      </c>
      <c r="C80" s="7" t="s">
        <v>375</v>
      </c>
      <c r="D80" s="37"/>
      <c r="E80" s="7" t="s">
        <v>76</v>
      </c>
      <c r="F80" s="7"/>
      <c r="G80" s="7"/>
      <c r="H80" s="7"/>
      <c r="I80" s="7"/>
      <c r="J80" s="7" t="s">
        <v>301</v>
      </c>
      <c r="K80" t="s">
        <v>376</v>
      </c>
      <c r="L80" s="7" t="s">
        <v>60</v>
      </c>
    </row>
    <row r="81" spans="1:12" x14ac:dyDescent="0.25">
      <c r="A81" s="7">
        <v>48118401800044</v>
      </c>
      <c r="B81" s="7" t="s">
        <v>163</v>
      </c>
      <c r="C81" s="7" t="s">
        <v>375</v>
      </c>
      <c r="D81" s="37"/>
      <c r="E81" s="7" t="s">
        <v>76</v>
      </c>
      <c r="F81" s="7"/>
      <c r="G81" s="7"/>
      <c r="H81" s="7"/>
      <c r="I81" s="7"/>
      <c r="J81" s="7" t="s">
        <v>302</v>
      </c>
      <c r="K81" t="s">
        <v>376</v>
      </c>
      <c r="L81" s="7" t="s">
        <v>62</v>
      </c>
    </row>
    <row r="82" spans="1:12" x14ac:dyDescent="0.25">
      <c r="A82" s="7">
        <v>42999261300050</v>
      </c>
      <c r="B82" s="7" t="s">
        <v>164</v>
      </c>
      <c r="C82" s="7" t="s">
        <v>375</v>
      </c>
      <c r="D82" s="37"/>
      <c r="E82" s="7" t="s">
        <v>76</v>
      </c>
      <c r="F82" s="7"/>
      <c r="G82" s="7"/>
      <c r="H82" s="7"/>
      <c r="I82" s="7"/>
      <c r="J82" s="7" t="s">
        <v>303</v>
      </c>
      <c r="K82" t="s">
        <v>376</v>
      </c>
      <c r="L82" s="7" t="s">
        <v>62</v>
      </c>
    </row>
    <row r="83" spans="1:12" x14ac:dyDescent="0.25">
      <c r="A83" s="7">
        <v>94305988100012</v>
      </c>
      <c r="B83" s="7" t="s">
        <v>165</v>
      </c>
      <c r="C83" s="7" t="s">
        <v>375</v>
      </c>
      <c r="D83" s="37"/>
      <c r="E83" s="7" t="s">
        <v>76</v>
      </c>
      <c r="F83" s="7"/>
      <c r="G83" s="7"/>
      <c r="H83" s="7"/>
      <c r="I83" s="7"/>
      <c r="J83" s="7" t="s">
        <v>304</v>
      </c>
      <c r="K83" t="s">
        <v>376</v>
      </c>
      <c r="L83" s="7" t="s">
        <v>62</v>
      </c>
    </row>
    <row r="84" spans="1:12" x14ac:dyDescent="0.25">
      <c r="A84" s="7">
        <v>37879953000050</v>
      </c>
      <c r="B84" s="7" t="s">
        <v>166</v>
      </c>
      <c r="C84" s="7" t="s">
        <v>375</v>
      </c>
      <c r="D84" s="37"/>
      <c r="E84" s="7" t="s">
        <v>232</v>
      </c>
      <c r="F84" s="7"/>
      <c r="G84" s="7"/>
      <c r="H84" s="7"/>
      <c r="I84" s="7"/>
      <c r="J84" s="7" t="s">
        <v>305</v>
      </c>
      <c r="K84" t="s">
        <v>376</v>
      </c>
      <c r="L84" s="7" t="s">
        <v>62</v>
      </c>
    </row>
    <row r="85" spans="1:12" x14ac:dyDescent="0.25">
      <c r="A85" s="7">
        <v>34014010200039</v>
      </c>
      <c r="B85" s="7" t="s">
        <v>167</v>
      </c>
      <c r="C85" s="7" t="s">
        <v>375</v>
      </c>
      <c r="D85" s="37"/>
      <c r="E85" s="7" t="s">
        <v>76</v>
      </c>
      <c r="F85" s="7"/>
      <c r="G85" s="7"/>
      <c r="H85" s="7"/>
      <c r="I85" s="7"/>
      <c r="J85" s="7" t="s">
        <v>306</v>
      </c>
      <c r="K85" t="s">
        <v>376</v>
      </c>
      <c r="L85" s="7" t="s">
        <v>62</v>
      </c>
    </row>
    <row r="86" spans="1:12" x14ac:dyDescent="0.25">
      <c r="A86" s="7">
        <v>86050038800092</v>
      </c>
      <c r="B86" s="7" t="s">
        <v>168</v>
      </c>
      <c r="C86" s="7" t="s">
        <v>375</v>
      </c>
      <c r="D86" s="37"/>
      <c r="E86" s="7" t="s">
        <v>76</v>
      </c>
      <c r="F86" s="7"/>
      <c r="G86" s="7"/>
      <c r="H86" s="7"/>
      <c r="I86" s="7"/>
      <c r="J86" s="7" t="s">
        <v>307</v>
      </c>
      <c r="K86" t="s">
        <v>376</v>
      </c>
      <c r="L86" s="7" t="s">
        <v>62</v>
      </c>
    </row>
    <row r="87" spans="1:12" x14ac:dyDescent="0.25">
      <c r="A87" s="7">
        <v>39936902400092</v>
      </c>
      <c r="B87" s="7" t="s">
        <v>169</v>
      </c>
      <c r="C87" s="7" t="s">
        <v>375</v>
      </c>
      <c r="D87" s="37"/>
      <c r="E87" s="7">
        <v>70031509733700</v>
      </c>
      <c r="F87" s="7">
        <v>227849401256</v>
      </c>
      <c r="G87" s="7" t="s">
        <v>71</v>
      </c>
      <c r="H87" s="7" t="s">
        <v>350</v>
      </c>
      <c r="I87" s="7" t="s">
        <v>75</v>
      </c>
      <c r="J87" s="7" t="s">
        <v>308</v>
      </c>
      <c r="K87" t="s">
        <v>376</v>
      </c>
      <c r="L87" s="7" t="s">
        <v>62</v>
      </c>
    </row>
    <row r="88" spans="1:12" x14ac:dyDescent="0.25">
      <c r="A88" s="7">
        <v>39838211900020</v>
      </c>
      <c r="B88" s="7" t="s">
        <v>170</v>
      </c>
      <c r="C88" s="7" t="s">
        <v>375</v>
      </c>
      <c r="D88" s="37"/>
      <c r="E88" s="7">
        <v>70031535509182</v>
      </c>
      <c r="F88" s="7">
        <v>227849401358</v>
      </c>
      <c r="G88" s="7" t="s">
        <v>71</v>
      </c>
      <c r="H88" s="7" t="s">
        <v>351</v>
      </c>
      <c r="I88" s="7" t="s">
        <v>75</v>
      </c>
      <c r="J88" s="7" t="s">
        <v>309</v>
      </c>
      <c r="K88" t="s">
        <v>376</v>
      </c>
      <c r="L88" s="7" t="s">
        <v>62</v>
      </c>
    </row>
    <row r="89" spans="1:12" x14ac:dyDescent="0.25">
      <c r="A89" s="7">
        <v>38294005400069</v>
      </c>
      <c r="B89" s="7" t="s">
        <v>171</v>
      </c>
      <c r="C89" s="7" t="s">
        <v>375</v>
      </c>
      <c r="D89" s="37"/>
      <c r="E89" s="7" t="s">
        <v>76</v>
      </c>
      <c r="F89" s="7"/>
      <c r="G89" s="7"/>
      <c r="H89" s="7"/>
      <c r="I89" s="7"/>
      <c r="J89" s="7" t="s">
        <v>310</v>
      </c>
      <c r="K89" t="s">
        <v>376</v>
      </c>
      <c r="L89" s="7" t="s">
        <v>62</v>
      </c>
    </row>
    <row r="90" spans="1:12" x14ac:dyDescent="0.25">
      <c r="A90" s="7">
        <v>33478205900177</v>
      </c>
      <c r="B90" s="7" t="s">
        <v>172</v>
      </c>
      <c r="C90" s="7" t="s">
        <v>375</v>
      </c>
      <c r="D90" s="37"/>
      <c r="E90" s="7">
        <v>70031542803167</v>
      </c>
      <c r="F90" s="7">
        <v>227849401459</v>
      </c>
      <c r="G90" s="7" t="s">
        <v>71</v>
      </c>
      <c r="H90" s="7" t="s">
        <v>352</v>
      </c>
      <c r="I90" s="7" t="s">
        <v>75</v>
      </c>
      <c r="J90" s="7" t="s">
        <v>311</v>
      </c>
      <c r="K90" t="s">
        <v>376</v>
      </c>
      <c r="L90" s="7" t="s">
        <v>62</v>
      </c>
    </row>
    <row r="91" spans="1:12" x14ac:dyDescent="0.25">
      <c r="A91" s="7">
        <v>35188747600031</v>
      </c>
      <c r="B91" s="7" t="s">
        <v>173</v>
      </c>
      <c r="C91" s="7" t="s">
        <v>375</v>
      </c>
      <c r="D91" s="37"/>
      <c r="E91" s="7">
        <v>70031545757995</v>
      </c>
      <c r="F91" s="7">
        <v>227949401351</v>
      </c>
      <c r="G91" s="7" t="s">
        <v>71</v>
      </c>
      <c r="H91" s="7" t="s">
        <v>353</v>
      </c>
      <c r="I91" s="7" t="s">
        <v>75</v>
      </c>
      <c r="J91" s="7" t="s">
        <v>312</v>
      </c>
      <c r="K91" t="s">
        <v>376</v>
      </c>
      <c r="L91" s="7" t="s">
        <v>62</v>
      </c>
    </row>
    <row r="92" spans="1:12" x14ac:dyDescent="0.25">
      <c r="A92" s="7">
        <v>35244123200068</v>
      </c>
      <c r="B92" s="7" t="s">
        <v>174</v>
      </c>
      <c r="C92" s="7" t="s">
        <v>375</v>
      </c>
      <c r="D92" s="37"/>
      <c r="E92" s="7" t="s">
        <v>354</v>
      </c>
      <c r="F92" s="7">
        <v>227949401851</v>
      </c>
      <c r="G92" s="7" t="s">
        <v>71</v>
      </c>
      <c r="H92" s="7" t="s">
        <v>355</v>
      </c>
      <c r="I92" s="7" t="s">
        <v>75</v>
      </c>
      <c r="J92" s="7" t="s">
        <v>313</v>
      </c>
      <c r="K92" t="s">
        <v>376</v>
      </c>
      <c r="L92" s="7" t="s">
        <v>62</v>
      </c>
    </row>
    <row r="93" spans="1:12" x14ac:dyDescent="0.25">
      <c r="A93" s="7">
        <v>38178971800065</v>
      </c>
      <c r="B93" s="7" t="s">
        <v>175</v>
      </c>
      <c r="C93" s="7" t="s">
        <v>375</v>
      </c>
      <c r="D93" s="37"/>
      <c r="E93" s="7" t="s">
        <v>235</v>
      </c>
      <c r="F93" s="7"/>
      <c r="G93" s="7"/>
      <c r="H93" s="7"/>
      <c r="I93" s="7"/>
      <c r="J93" s="7" t="s">
        <v>314</v>
      </c>
      <c r="K93" t="s">
        <v>376</v>
      </c>
      <c r="L93" s="7" t="s">
        <v>62</v>
      </c>
    </row>
    <row r="94" spans="1:12" x14ac:dyDescent="0.25">
      <c r="A94" s="7">
        <v>37805349000058</v>
      </c>
      <c r="B94" s="7" t="s">
        <v>176</v>
      </c>
      <c r="C94" s="7" t="s">
        <v>375</v>
      </c>
      <c r="D94" s="37"/>
      <c r="E94" s="7">
        <v>70031556877378</v>
      </c>
      <c r="F94" s="7">
        <v>227949401452</v>
      </c>
      <c r="G94" s="7" t="s">
        <v>71</v>
      </c>
      <c r="H94" s="7" t="s">
        <v>356</v>
      </c>
      <c r="I94" s="7" t="s">
        <v>75</v>
      </c>
      <c r="J94" s="7" t="s">
        <v>315</v>
      </c>
      <c r="K94" t="s">
        <v>376</v>
      </c>
      <c r="L94" s="7" t="s">
        <v>62</v>
      </c>
    </row>
    <row r="95" spans="1:12" x14ac:dyDescent="0.25">
      <c r="A95" s="7">
        <v>42492579000083</v>
      </c>
      <c r="B95" s="7" t="s">
        <v>177</v>
      </c>
      <c r="C95" s="7" t="s">
        <v>375</v>
      </c>
      <c r="D95" s="37"/>
      <c r="E95" s="7" t="s">
        <v>76</v>
      </c>
      <c r="F95" s="7"/>
      <c r="G95" s="7"/>
      <c r="H95" s="7"/>
      <c r="I95" s="7"/>
      <c r="J95" s="7" t="s">
        <v>316</v>
      </c>
      <c r="K95" t="s">
        <v>376</v>
      </c>
      <c r="L95" s="7" t="s">
        <v>62</v>
      </c>
    </row>
    <row r="96" spans="1:12" x14ac:dyDescent="0.25">
      <c r="A96" s="7">
        <v>42492579000083</v>
      </c>
      <c r="B96" s="7" t="s">
        <v>178</v>
      </c>
      <c r="C96" s="7" t="s">
        <v>375</v>
      </c>
      <c r="D96" s="37"/>
      <c r="E96" s="7" t="s">
        <v>357</v>
      </c>
      <c r="F96" s="7"/>
      <c r="G96" s="7"/>
      <c r="H96" s="7"/>
      <c r="I96" s="7"/>
      <c r="J96" s="7" t="s">
        <v>317</v>
      </c>
      <c r="K96" t="s">
        <v>376</v>
      </c>
      <c r="L96" s="7" t="s">
        <v>64</v>
      </c>
    </row>
    <row r="97" spans="1:12" x14ac:dyDescent="0.25">
      <c r="A97" s="7">
        <v>42343997500016</v>
      </c>
      <c r="B97" s="7" t="s">
        <v>179</v>
      </c>
      <c r="C97" s="7" t="s">
        <v>375</v>
      </c>
      <c r="D97" s="37"/>
      <c r="E97" s="7">
        <v>70031507396491</v>
      </c>
      <c r="F97" s="7">
        <v>227849401955</v>
      </c>
      <c r="G97" s="7" t="s">
        <v>71</v>
      </c>
      <c r="H97" s="7" t="s">
        <v>358</v>
      </c>
      <c r="I97" s="7" t="s">
        <v>75</v>
      </c>
      <c r="J97" s="7" t="s">
        <v>318</v>
      </c>
      <c r="K97" t="s">
        <v>376</v>
      </c>
      <c r="L97" s="7" t="s">
        <v>64</v>
      </c>
    </row>
    <row r="98" spans="1:12" x14ac:dyDescent="0.25">
      <c r="A98" s="7">
        <v>31214052800018</v>
      </c>
      <c r="B98" s="7" t="s">
        <v>180</v>
      </c>
      <c r="C98" s="7" t="s">
        <v>375</v>
      </c>
      <c r="D98" s="37"/>
      <c r="E98" s="7" t="s">
        <v>76</v>
      </c>
      <c r="F98" s="7"/>
      <c r="G98" s="7"/>
      <c r="H98" s="7"/>
      <c r="I98" s="7"/>
      <c r="J98" s="7" t="s">
        <v>319</v>
      </c>
      <c r="K98" t="s">
        <v>376</v>
      </c>
      <c r="L98" s="7" t="s">
        <v>64</v>
      </c>
    </row>
    <row r="99" spans="1:12" x14ac:dyDescent="0.25">
      <c r="A99" s="7">
        <v>45046145400016</v>
      </c>
      <c r="B99" s="7" t="s">
        <v>181</v>
      </c>
      <c r="C99" s="7" t="s">
        <v>375</v>
      </c>
      <c r="D99" s="37"/>
      <c r="E99" s="7">
        <v>70031521565744</v>
      </c>
      <c r="F99" s="7">
        <v>227849401557</v>
      </c>
      <c r="G99" s="7" t="s">
        <v>71</v>
      </c>
      <c r="H99" s="7" t="s">
        <v>359</v>
      </c>
      <c r="I99" s="7" t="s">
        <v>75</v>
      </c>
      <c r="J99" s="7" t="s">
        <v>320</v>
      </c>
      <c r="K99" t="s">
        <v>376</v>
      </c>
      <c r="L99" s="7" t="s">
        <v>64</v>
      </c>
    </row>
    <row r="100" spans="1:12" x14ac:dyDescent="0.25">
      <c r="A100" s="7">
        <v>33533889300050</v>
      </c>
      <c r="B100" s="7" t="s">
        <v>182</v>
      </c>
      <c r="C100" s="7" t="s">
        <v>375</v>
      </c>
      <c r="D100" s="37"/>
      <c r="E100" s="7"/>
      <c r="F100" s="7"/>
      <c r="G100" s="7"/>
      <c r="H100" s="7"/>
      <c r="I100" s="7"/>
      <c r="J100" s="7" t="s">
        <v>321</v>
      </c>
      <c r="K100" t="s">
        <v>376</v>
      </c>
      <c r="L100" s="7" t="s">
        <v>64</v>
      </c>
    </row>
    <row r="101" spans="1:12" x14ac:dyDescent="0.25">
      <c r="A101" s="7">
        <v>42101373100052</v>
      </c>
      <c r="B101" s="7" t="s">
        <v>183</v>
      </c>
      <c r="C101" s="7" t="s">
        <v>375</v>
      </c>
      <c r="D101" s="37"/>
      <c r="E101" s="7">
        <v>70031535419678</v>
      </c>
      <c r="F101" s="7">
        <v>227849401658</v>
      </c>
      <c r="G101" s="7" t="s">
        <v>71</v>
      </c>
      <c r="H101" s="7" t="s">
        <v>360</v>
      </c>
      <c r="I101" s="7" t="s">
        <v>75</v>
      </c>
      <c r="J101" s="7" t="s">
        <v>322</v>
      </c>
      <c r="K101" t="s">
        <v>376</v>
      </c>
      <c r="L101" s="7" t="s">
        <v>64</v>
      </c>
    </row>
    <row r="102" spans="1:12" x14ac:dyDescent="0.25">
      <c r="A102" s="7">
        <v>41455649800056</v>
      </c>
      <c r="B102" s="7" t="s">
        <v>184</v>
      </c>
      <c r="C102" s="7" t="s">
        <v>375</v>
      </c>
      <c r="D102" s="37"/>
      <c r="E102" s="7">
        <v>70031539070689</v>
      </c>
      <c r="F102" s="7">
        <v>227849401259</v>
      </c>
      <c r="G102" s="7" t="s">
        <v>71</v>
      </c>
      <c r="H102" s="7" t="s">
        <v>361</v>
      </c>
      <c r="I102" s="7" t="s">
        <v>75</v>
      </c>
      <c r="J102" s="7" t="s">
        <v>323</v>
      </c>
      <c r="K102" t="s">
        <v>376</v>
      </c>
      <c r="L102" s="7" t="s">
        <v>64</v>
      </c>
    </row>
    <row r="103" spans="1:12" x14ac:dyDescent="0.25">
      <c r="A103" s="7">
        <v>52792826100041</v>
      </c>
      <c r="B103" s="7" t="s">
        <v>185</v>
      </c>
      <c r="C103" s="7" t="s">
        <v>375</v>
      </c>
      <c r="D103" s="37"/>
      <c r="E103" s="7">
        <v>70031540728147</v>
      </c>
      <c r="F103" s="7">
        <v>227849401659</v>
      </c>
      <c r="G103" s="7" t="s">
        <v>71</v>
      </c>
      <c r="H103" s="7" t="s">
        <v>362</v>
      </c>
      <c r="I103" s="7" t="s">
        <v>75</v>
      </c>
      <c r="J103" s="7" t="s">
        <v>324</v>
      </c>
      <c r="K103" t="s">
        <v>376</v>
      </c>
      <c r="L103" s="7" t="s">
        <v>64</v>
      </c>
    </row>
    <row r="104" spans="1:12" x14ac:dyDescent="0.25">
      <c r="A104" s="7">
        <v>45160142100063</v>
      </c>
      <c r="B104" s="7" t="s">
        <v>186</v>
      </c>
      <c r="C104" s="7" t="s">
        <v>375</v>
      </c>
      <c r="D104" s="37"/>
      <c r="E104" s="7">
        <v>70031542905325</v>
      </c>
      <c r="F104" s="7">
        <v>227949401150</v>
      </c>
      <c r="G104" s="7" t="s">
        <v>71</v>
      </c>
      <c r="H104" s="7" t="s">
        <v>363</v>
      </c>
      <c r="I104" s="7" t="s">
        <v>75</v>
      </c>
      <c r="J104" s="7" t="s">
        <v>325</v>
      </c>
      <c r="K104" t="s">
        <v>376</v>
      </c>
      <c r="L104" s="7" t="s">
        <v>64</v>
      </c>
    </row>
    <row r="105" spans="1:12" x14ac:dyDescent="0.25">
      <c r="A105" s="7">
        <v>61203967700077</v>
      </c>
      <c r="B105" s="7" t="s">
        <v>187</v>
      </c>
      <c r="C105" s="7" t="s">
        <v>375</v>
      </c>
      <c r="D105" s="37"/>
      <c r="E105" s="7">
        <v>70031553420549</v>
      </c>
      <c r="F105" s="7">
        <v>227949401152</v>
      </c>
      <c r="G105" s="7" t="s">
        <v>71</v>
      </c>
      <c r="H105" s="7" t="s">
        <v>364</v>
      </c>
      <c r="I105" s="7" t="s">
        <v>75</v>
      </c>
      <c r="J105" s="7" t="s">
        <v>326</v>
      </c>
      <c r="K105" t="s">
        <v>376</v>
      </c>
      <c r="L105" s="7" t="s">
        <v>64</v>
      </c>
    </row>
    <row r="106" spans="1:12" x14ac:dyDescent="0.25">
      <c r="A106" s="7">
        <v>61203967700077</v>
      </c>
      <c r="B106" s="7" t="s">
        <v>188</v>
      </c>
      <c r="C106" s="7" t="s">
        <v>375</v>
      </c>
      <c r="D106" s="37"/>
      <c r="E106" s="7" t="s">
        <v>348</v>
      </c>
      <c r="F106" s="7"/>
      <c r="G106" s="7"/>
      <c r="H106" s="7"/>
      <c r="I106" s="7"/>
      <c r="J106" s="7" t="s">
        <v>327</v>
      </c>
      <c r="K106" t="s">
        <v>376</v>
      </c>
      <c r="L106" s="7" t="s">
        <v>64</v>
      </c>
    </row>
    <row r="107" spans="1:12" x14ac:dyDescent="0.25">
      <c r="A107" s="7">
        <v>80857462800042</v>
      </c>
      <c r="B107" s="7" t="s">
        <v>189</v>
      </c>
      <c r="C107" s="7" t="s">
        <v>375</v>
      </c>
      <c r="D107" s="37"/>
      <c r="E107" s="7">
        <v>70031556511267</v>
      </c>
      <c r="F107" s="7">
        <v>227949401352</v>
      </c>
      <c r="G107" s="7" t="s">
        <v>71</v>
      </c>
      <c r="H107" s="7" t="s">
        <v>365</v>
      </c>
      <c r="I107" s="7" t="s">
        <v>75</v>
      </c>
      <c r="J107" s="7" t="s">
        <v>328</v>
      </c>
      <c r="K107" t="s">
        <v>376</v>
      </c>
      <c r="L107" s="7" t="s">
        <v>64</v>
      </c>
    </row>
    <row r="108" spans="1:12" x14ac:dyDescent="0.25">
      <c r="A108" s="7">
        <v>80857462800042</v>
      </c>
      <c r="B108" s="7" t="s">
        <v>190</v>
      </c>
      <c r="C108" s="7" t="s">
        <v>375</v>
      </c>
      <c r="D108" s="37"/>
      <c r="E108" s="7" t="s">
        <v>348</v>
      </c>
      <c r="F108" s="7"/>
      <c r="G108" s="7"/>
      <c r="H108" s="7"/>
      <c r="I108" s="7"/>
      <c r="J108" s="7" t="s">
        <v>329</v>
      </c>
      <c r="K108" t="s">
        <v>376</v>
      </c>
      <c r="L108" s="7" t="s">
        <v>64</v>
      </c>
    </row>
    <row r="109" spans="1:12" x14ac:dyDescent="0.25">
      <c r="A109" s="7">
        <v>80857462800042</v>
      </c>
      <c r="B109" s="7" t="s">
        <v>191</v>
      </c>
      <c r="C109" s="7" t="s">
        <v>375</v>
      </c>
      <c r="D109" s="37"/>
      <c r="E109" s="7" t="s">
        <v>348</v>
      </c>
      <c r="F109" s="7"/>
      <c r="G109" s="7"/>
      <c r="H109" s="7"/>
      <c r="I109" s="7"/>
      <c r="J109" s="7" t="s">
        <v>330</v>
      </c>
      <c r="K109" t="s">
        <v>376</v>
      </c>
      <c r="L109" s="7" t="s">
        <v>64</v>
      </c>
    </row>
    <row r="110" spans="1:12" x14ac:dyDescent="0.25">
      <c r="A110" s="7"/>
      <c r="B110" s="7" t="s">
        <v>192</v>
      </c>
      <c r="C110" s="7" t="s">
        <v>375</v>
      </c>
      <c r="D110" s="37"/>
      <c r="E110" s="7" t="s">
        <v>366</v>
      </c>
      <c r="F110" s="7"/>
      <c r="G110" s="7"/>
      <c r="H110" s="7"/>
      <c r="I110" s="7"/>
      <c r="J110" s="7" t="s">
        <v>331</v>
      </c>
      <c r="K110" t="s">
        <v>376</v>
      </c>
      <c r="L110" s="7" t="s">
        <v>64</v>
      </c>
    </row>
    <row r="111" spans="1:12" x14ac:dyDescent="0.25">
      <c r="A111" s="7">
        <v>80857462800026</v>
      </c>
      <c r="B111" s="7" t="s">
        <v>193</v>
      </c>
      <c r="C111" s="7" t="s">
        <v>375</v>
      </c>
      <c r="D111" s="37"/>
      <c r="E111" s="7">
        <v>70031545007635</v>
      </c>
      <c r="F111" s="7">
        <v>227949401650</v>
      </c>
      <c r="G111" s="7" t="s">
        <v>71</v>
      </c>
      <c r="H111" s="7" t="s">
        <v>367</v>
      </c>
      <c r="I111" s="7" t="s">
        <v>75</v>
      </c>
      <c r="J111" s="7" t="s">
        <v>332</v>
      </c>
      <c r="K111" t="s">
        <v>376</v>
      </c>
      <c r="L111" s="7" t="s">
        <v>64</v>
      </c>
    </row>
    <row r="112" spans="1:12" x14ac:dyDescent="0.25">
      <c r="A112" s="7">
        <v>42330516800100</v>
      </c>
      <c r="B112" s="7" t="s">
        <v>194</v>
      </c>
      <c r="C112" s="7" t="s">
        <v>375</v>
      </c>
      <c r="D112" s="37"/>
      <c r="E112" s="7">
        <v>70031514390361</v>
      </c>
      <c r="F112" s="7">
        <v>227849401756</v>
      </c>
      <c r="G112" s="7" t="s">
        <v>71</v>
      </c>
      <c r="H112" s="7" t="s">
        <v>368</v>
      </c>
      <c r="I112" s="7" t="s">
        <v>75</v>
      </c>
      <c r="J112" s="7" t="s">
        <v>333</v>
      </c>
      <c r="K112" t="s">
        <v>376</v>
      </c>
      <c r="L112" s="7" t="s">
        <v>63</v>
      </c>
    </row>
    <row r="113" spans="1:12" x14ac:dyDescent="0.25">
      <c r="A113" s="7">
        <v>40993621800059</v>
      </c>
      <c r="B113" s="7" t="s">
        <v>195</v>
      </c>
      <c r="C113" s="7" t="s">
        <v>375</v>
      </c>
      <c r="D113" s="37"/>
      <c r="E113" s="7">
        <v>70031525171191</v>
      </c>
      <c r="F113" s="7">
        <v>227849401757</v>
      </c>
      <c r="G113" s="7" t="s">
        <v>71</v>
      </c>
      <c r="H113" s="7" t="s">
        <v>369</v>
      </c>
      <c r="I113" s="7" t="s">
        <v>75</v>
      </c>
      <c r="J113" s="7" t="s">
        <v>334</v>
      </c>
      <c r="K113" t="s">
        <v>376</v>
      </c>
      <c r="L113" s="7" t="s">
        <v>63</v>
      </c>
    </row>
    <row r="114" spans="1:12" x14ac:dyDescent="0.25">
      <c r="A114" s="7">
        <v>40866344100082</v>
      </c>
      <c r="B114" s="7" t="s">
        <v>196</v>
      </c>
      <c r="C114" s="7" t="s">
        <v>375</v>
      </c>
      <c r="D114" s="37"/>
      <c r="E114" s="7">
        <v>70031529706040</v>
      </c>
      <c r="F114" s="7">
        <v>227849401957</v>
      </c>
      <c r="G114" s="7" t="s">
        <v>71</v>
      </c>
      <c r="H114" s="7" t="s">
        <v>370</v>
      </c>
      <c r="I114" s="7" t="s">
        <v>75</v>
      </c>
      <c r="J114" s="7" t="s">
        <v>335</v>
      </c>
      <c r="K114" t="s">
        <v>376</v>
      </c>
      <c r="L114" s="7" t="s">
        <v>63</v>
      </c>
    </row>
    <row r="115" spans="1:12" x14ac:dyDescent="0.25">
      <c r="A115" s="7">
        <v>80857462800042</v>
      </c>
      <c r="B115" s="7" t="s">
        <v>197</v>
      </c>
      <c r="C115" s="7" t="s">
        <v>375</v>
      </c>
      <c r="D115" s="37"/>
      <c r="E115" s="7">
        <v>70031533788203</v>
      </c>
      <c r="F115" s="7">
        <v>227849401258</v>
      </c>
      <c r="G115" s="7" t="s">
        <v>371</v>
      </c>
      <c r="H115" s="7" t="s">
        <v>372</v>
      </c>
      <c r="I115" s="7" t="s">
        <v>75</v>
      </c>
      <c r="J115" s="7" t="s">
        <v>336</v>
      </c>
      <c r="K115" t="s">
        <v>376</v>
      </c>
      <c r="L115" s="7" t="s">
        <v>63</v>
      </c>
    </row>
    <row r="116" spans="1:12" x14ac:dyDescent="0.25">
      <c r="A116" s="7">
        <v>80857462800034</v>
      </c>
      <c r="B116" s="7" t="s">
        <v>198</v>
      </c>
      <c r="C116" s="7" t="s">
        <v>375</v>
      </c>
      <c r="D116" s="37"/>
      <c r="E116" s="7"/>
      <c r="F116" s="7"/>
      <c r="G116" s="7"/>
      <c r="H116" s="7"/>
      <c r="I116" s="7"/>
      <c r="J116" s="7" t="s">
        <v>337</v>
      </c>
      <c r="K116" t="s">
        <v>376</v>
      </c>
      <c r="L116" s="7" t="s">
        <v>63</v>
      </c>
    </row>
    <row r="117" spans="1:12" x14ac:dyDescent="0.25">
      <c r="A117" s="7"/>
      <c r="B117" s="7" t="s">
        <v>199</v>
      </c>
      <c r="C117" s="7" t="s">
        <v>375</v>
      </c>
      <c r="D117" s="37"/>
      <c r="E117" s="7" t="s">
        <v>366</v>
      </c>
      <c r="F117" s="7"/>
      <c r="G117" s="7"/>
      <c r="H117" s="7"/>
      <c r="I117" s="7"/>
      <c r="J117" s="7" t="s">
        <v>338</v>
      </c>
      <c r="K117" t="s">
        <v>376</v>
      </c>
      <c r="L117" s="7" t="s">
        <v>63</v>
      </c>
    </row>
    <row r="118" spans="1:12" x14ac:dyDescent="0.25">
      <c r="A118" s="7">
        <v>31501335900155</v>
      </c>
      <c r="B118" s="7" t="s">
        <v>200</v>
      </c>
      <c r="C118" s="7" t="s">
        <v>375</v>
      </c>
      <c r="D118" s="37"/>
      <c r="E118" s="7">
        <v>70031538034363</v>
      </c>
      <c r="F118" s="7">
        <v>227849401159</v>
      </c>
      <c r="G118" s="7" t="s">
        <v>71</v>
      </c>
      <c r="H118" s="7" t="s">
        <v>373</v>
      </c>
      <c r="I118" s="7" t="s">
        <v>75</v>
      </c>
      <c r="J118" s="7" t="s">
        <v>339</v>
      </c>
      <c r="K118" t="s">
        <v>376</v>
      </c>
      <c r="L118" s="7" t="s">
        <v>63</v>
      </c>
    </row>
    <row r="119" spans="1:12" x14ac:dyDescent="0.25">
      <c r="A119" s="7">
        <v>80857462800042</v>
      </c>
      <c r="B119" s="7" t="s">
        <v>201</v>
      </c>
      <c r="C119" s="7" t="s">
        <v>375</v>
      </c>
      <c r="D119" s="37"/>
      <c r="E119" s="7">
        <v>70031542752983</v>
      </c>
      <c r="F119" s="7">
        <v>227849401859</v>
      </c>
      <c r="G119" s="7" t="s">
        <v>71</v>
      </c>
      <c r="H119" s="7" t="s">
        <v>374</v>
      </c>
      <c r="I119" s="7" t="s">
        <v>75</v>
      </c>
      <c r="J119" s="7" t="s">
        <v>340</v>
      </c>
      <c r="K119" t="s">
        <v>376</v>
      </c>
      <c r="L119" s="7" t="s">
        <v>63</v>
      </c>
    </row>
    <row r="120" spans="1:12" x14ac:dyDescent="0.25">
      <c r="A120" s="7">
        <v>80857462800042</v>
      </c>
      <c r="B120" s="7" t="s">
        <v>202</v>
      </c>
      <c r="C120" s="7" t="s">
        <v>375</v>
      </c>
      <c r="D120" s="37"/>
      <c r="E120" s="7" t="s">
        <v>348</v>
      </c>
      <c r="F120" s="7"/>
      <c r="G120" s="7"/>
      <c r="H120" s="7"/>
      <c r="I120" s="7"/>
      <c r="J120" s="7" t="s">
        <v>341</v>
      </c>
      <c r="K120" t="s">
        <v>376</v>
      </c>
      <c r="L120" s="7" t="s">
        <v>63</v>
      </c>
    </row>
    <row r="121" spans="1:12" x14ac:dyDescent="0.25">
      <c r="A121" s="7">
        <v>80857462800042</v>
      </c>
      <c r="B121" s="7" t="s">
        <v>203</v>
      </c>
      <c r="C121" s="7" t="s">
        <v>375</v>
      </c>
      <c r="D121" s="37"/>
      <c r="E121" s="7" t="s">
        <v>348</v>
      </c>
      <c r="F121" s="7"/>
      <c r="G121" s="7"/>
      <c r="H121" s="7"/>
      <c r="I121" s="7"/>
      <c r="J121" s="7" t="s">
        <v>342</v>
      </c>
      <c r="K121" t="s">
        <v>376</v>
      </c>
      <c r="L121" s="7" t="s">
        <v>63</v>
      </c>
    </row>
    <row r="122" spans="1:12" x14ac:dyDescent="0.25">
      <c r="A122" s="7">
        <v>80857462800042</v>
      </c>
      <c r="B122" s="7" t="s">
        <v>204</v>
      </c>
      <c r="C122" s="7" t="s">
        <v>375</v>
      </c>
      <c r="D122" s="37"/>
      <c r="E122" s="7" t="s">
        <v>348</v>
      </c>
      <c r="F122" s="7"/>
      <c r="G122" s="7"/>
      <c r="H122" s="7"/>
      <c r="I122" s="7"/>
      <c r="J122" s="7" t="s">
        <v>343</v>
      </c>
      <c r="K122" t="s">
        <v>376</v>
      </c>
      <c r="L122" s="7" t="s">
        <v>63</v>
      </c>
    </row>
    <row r="123" spans="1:12" x14ac:dyDescent="0.25">
      <c r="A123" s="7">
        <v>80857462800442</v>
      </c>
      <c r="B123" s="7" t="s">
        <v>205</v>
      </c>
      <c r="C123" s="7" t="s">
        <v>375</v>
      </c>
      <c r="D123" s="37"/>
      <c r="E123" s="7" t="s">
        <v>348</v>
      </c>
      <c r="F123" s="7"/>
      <c r="G123" s="7"/>
      <c r="H123" s="7"/>
      <c r="I123" s="7"/>
      <c r="J123" s="7" t="s">
        <v>344</v>
      </c>
      <c r="K123" t="s">
        <v>376</v>
      </c>
      <c r="L123" s="7" t="s">
        <v>63</v>
      </c>
    </row>
    <row r="124" spans="1:12" x14ac:dyDescent="0.25">
      <c r="A124" s="7">
        <v>80857462800342</v>
      </c>
      <c r="B124" s="7" t="s">
        <v>206</v>
      </c>
      <c r="C124" s="7" t="s">
        <v>375</v>
      </c>
      <c r="D124" s="37"/>
      <c r="E124" s="7" t="s">
        <v>348</v>
      </c>
      <c r="F124" s="7"/>
      <c r="G124" s="7"/>
      <c r="H124" s="7"/>
      <c r="I124" s="7"/>
      <c r="J124" s="7" t="s">
        <v>345</v>
      </c>
      <c r="K124" t="s">
        <v>376</v>
      </c>
      <c r="L124" s="7" t="s">
        <v>63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6B86-303A-40F9-87B4-E57DFF656A9A}">
  <sheetPr codeName="Feuil6"/>
  <dimension ref="A1:N2"/>
  <sheetViews>
    <sheetView workbookViewId="0">
      <selection activeCell="C18" sqref="C18"/>
    </sheetView>
  </sheetViews>
  <sheetFormatPr baseColWidth="10" defaultRowHeight="15" x14ac:dyDescent="0.25"/>
  <cols>
    <col min="1" max="1" width="24.140625" bestFit="1" customWidth="1"/>
    <col min="2" max="2" width="44.140625" bestFit="1" customWidth="1"/>
    <col min="3" max="3" width="101.7109375" bestFit="1" customWidth="1"/>
    <col min="4" max="4" width="18.7109375" bestFit="1" customWidth="1"/>
    <col min="5" max="5" width="21.7109375" bestFit="1" customWidth="1"/>
    <col min="6" max="6" width="19.140625" bestFit="1" customWidth="1"/>
    <col min="7" max="7" width="13.7109375" bestFit="1" customWidth="1"/>
    <col min="8" max="8" width="7.5703125" bestFit="1" customWidth="1"/>
    <col min="9" max="9" width="9" bestFit="1" customWidth="1"/>
    <col min="10" max="10" width="19.85546875" bestFit="1" customWidth="1"/>
    <col min="11" max="11" width="13.5703125" bestFit="1" customWidth="1"/>
    <col min="12" max="12" width="9.140625" bestFit="1" customWidth="1"/>
    <col min="13" max="13" width="14.28515625" bestFit="1" customWidth="1"/>
    <col min="14" max="14" width="31.85546875" bestFit="1" customWidth="1"/>
  </cols>
  <sheetData>
    <row r="1" spans="1:14" x14ac:dyDescent="0.25">
      <c r="A1" s="1" t="s">
        <v>18</v>
      </c>
      <c r="B1" s="1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19</v>
      </c>
      <c r="J1" s="1" t="s">
        <v>7</v>
      </c>
      <c r="K1" s="1" t="s">
        <v>20</v>
      </c>
      <c r="L1" s="1" t="s">
        <v>21</v>
      </c>
      <c r="M1" s="1" t="s">
        <v>381</v>
      </c>
      <c r="N1" s="1" t="s">
        <v>382</v>
      </c>
    </row>
    <row r="2" spans="1:14" x14ac:dyDescent="0.25">
      <c r="A2" t="s">
        <v>65</v>
      </c>
      <c r="B2" t="s">
        <v>31</v>
      </c>
      <c r="C2" t="s">
        <v>66</v>
      </c>
      <c r="D2" s="6">
        <v>46240.447974537034</v>
      </c>
      <c r="E2" t="s">
        <v>67</v>
      </c>
      <c r="F2">
        <v>21</v>
      </c>
      <c r="G2" t="s">
        <v>68</v>
      </c>
      <c r="H2" t="s">
        <v>17</v>
      </c>
      <c r="I2" t="s">
        <v>69</v>
      </c>
      <c r="J2" t="s">
        <v>70</v>
      </c>
      <c r="K2">
        <v>217949401558</v>
      </c>
      <c r="L2" t="s">
        <v>71</v>
      </c>
      <c r="M2">
        <v>70023402849291</v>
      </c>
      <c r="N2" t="s">
        <v>72</v>
      </c>
    </row>
  </sheetData>
  <autoFilter ref="A1:G1" xr:uid="{83486B86-303A-40F9-87B4-E57DFF656A9A}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92A5A-F6AE-4595-B902-A762BF149200}">
  <sheetPr codeName="Feuil7"/>
  <dimension ref="A1"/>
  <sheetViews>
    <sheetView workbookViewId="0"/>
  </sheetViews>
  <sheetFormatPr baseColWidth="10" defaultRowHeight="15" x14ac:dyDescent="0.25"/>
  <sheetData>
    <row r="1" spans="1:1" x14ac:dyDescent="0.25">
      <c r="A1" t="s"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A9C3-4DA5-4EF1-A206-90CA843CAB27}">
  <sheetPr codeName="Feuil8"/>
  <dimension ref="A1:F2"/>
  <sheetViews>
    <sheetView workbookViewId="0"/>
  </sheetViews>
  <sheetFormatPr baseColWidth="10" defaultRowHeight="15" x14ac:dyDescent="0.25"/>
  <cols>
    <col min="3" max="3" width="15.7109375" bestFit="1" customWidth="1"/>
  </cols>
  <sheetData>
    <row r="1" spans="1:6" x14ac:dyDescent="0.25">
      <c r="A1" t="s">
        <v>18</v>
      </c>
      <c r="B1" t="s">
        <v>10</v>
      </c>
      <c r="C1" t="s">
        <v>26</v>
      </c>
      <c r="D1" t="s">
        <v>27</v>
      </c>
      <c r="E1" t="s">
        <v>28</v>
      </c>
      <c r="F1" t="s">
        <v>16</v>
      </c>
    </row>
    <row r="2" spans="1:6" x14ac:dyDescent="0.25">
      <c r="A2" t="s">
        <v>65</v>
      </c>
      <c r="B2" t="s">
        <v>31</v>
      </c>
      <c r="C2" s="34">
        <v>46240.447974537034</v>
      </c>
      <c r="D2" t="s">
        <v>67</v>
      </c>
      <c r="E2">
        <v>21</v>
      </c>
      <c r="F2" t="s">
        <v>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88782-BD16-4839-9CAB-0055A7B234BA}">
  <sheetPr codeName="Feuil9"/>
  <dimension ref="A1:F4"/>
  <sheetViews>
    <sheetView workbookViewId="0">
      <selection sqref="A1:A1048576"/>
    </sheetView>
  </sheetViews>
  <sheetFormatPr baseColWidth="10" defaultRowHeight="15" x14ac:dyDescent="0.25"/>
  <cols>
    <col min="1" max="1" width="17.7109375" bestFit="1" customWidth="1"/>
  </cols>
  <sheetData>
    <row r="1" spans="1:6" x14ac:dyDescent="0.25">
      <c r="A1" t="s">
        <v>0</v>
      </c>
      <c r="B1" t="s">
        <v>22</v>
      </c>
      <c r="C1" t="s">
        <v>23</v>
      </c>
      <c r="D1" t="s">
        <v>29</v>
      </c>
      <c r="E1" t="s">
        <v>18</v>
      </c>
      <c r="F1" t="s">
        <v>25</v>
      </c>
    </row>
    <row r="2" spans="1:6" x14ac:dyDescent="0.25">
      <c r="A2" s="3">
        <v>90481478700019</v>
      </c>
      <c r="B2" t="s">
        <v>52</v>
      </c>
      <c r="C2" t="s">
        <v>33</v>
      </c>
      <c r="D2" s="35">
        <v>46241</v>
      </c>
      <c r="E2" t="s">
        <v>65</v>
      </c>
      <c r="F2" t="s">
        <v>31</v>
      </c>
    </row>
    <row r="3" spans="1:6" x14ac:dyDescent="0.25">
      <c r="A3" s="3">
        <v>93455056700010</v>
      </c>
      <c r="B3" t="s">
        <v>53</v>
      </c>
      <c r="C3" t="s">
        <v>33</v>
      </c>
      <c r="D3" s="35">
        <v>46241</v>
      </c>
      <c r="E3" t="s">
        <v>65</v>
      </c>
      <c r="F3" t="s">
        <v>31</v>
      </c>
    </row>
    <row r="4" spans="1:6" x14ac:dyDescent="0.25">
      <c r="A4" s="3">
        <v>99317687400010</v>
      </c>
      <c r="B4" t="s">
        <v>54</v>
      </c>
      <c r="C4" t="s">
        <v>33</v>
      </c>
      <c r="D4" s="35">
        <v>46241</v>
      </c>
      <c r="E4" t="s">
        <v>65</v>
      </c>
      <c r="F4" t="s">
        <v>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12C80-F122-46E8-B753-25E28F88F970}">
  <sheetPr codeName="Feuil10"/>
  <dimension ref="A1:J124"/>
  <sheetViews>
    <sheetView workbookViewId="0"/>
  </sheetViews>
  <sheetFormatPr baseColWidth="10" defaultRowHeight="15" x14ac:dyDescent="0.25"/>
  <sheetData>
    <row r="1" spans="1:10" x14ac:dyDescent="0.25">
      <c r="A1" t="s">
        <v>30</v>
      </c>
      <c r="B1" t="s">
        <v>9</v>
      </c>
      <c r="C1" t="s">
        <v>0</v>
      </c>
      <c r="D1" t="s">
        <v>1</v>
      </c>
      <c r="E1" t="s">
        <v>2</v>
      </c>
      <c r="F1" t="s">
        <v>383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>
        <v>2</v>
      </c>
      <c r="B2">
        <v>41966458600031</v>
      </c>
      <c r="C2" t="s">
        <v>32</v>
      </c>
      <c r="D2" t="s">
        <v>33</v>
      </c>
      <c r="E2">
        <v>46241</v>
      </c>
      <c r="F2" t="s">
        <v>76</v>
      </c>
    </row>
    <row r="3" spans="1:10" x14ac:dyDescent="0.25">
      <c r="A3">
        <v>3</v>
      </c>
      <c r="B3">
        <v>32265981400048</v>
      </c>
      <c r="C3" t="s">
        <v>34</v>
      </c>
      <c r="D3" t="s">
        <v>33</v>
      </c>
      <c r="E3">
        <v>46241</v>
      </c>
      <c r="F3" t="s">
        <v>76</v>
      </c>
    </row>
    <row r="4" spans="1:10" x14ac:dyDescent="0.25">
      <c r="A4">
        <v>4</v>
      </c>
      <c r="B4">
        <v>90531113000017</v>
      </c>
      <c r="C4" t="s">
        <v>35</v>
      </c>
      <c r="D4" t="s">
        <v>33</v>
      </c>
      <c r="E4">
        <v>46241</v>
      </c>
      <c r="F4">
        <v>70031595391299</v>
      </c>
      <c r="G4">
        <v>227949401953</v>
      </c>
      <c r="H4" t="s">
        <v>71</v>
      </c>
      <c r="I4" t="s">
        <v>77</v>
      </c>
      <c r="J4" t="s">
        <v>75</v>
      </c>
    </row>
    <row r="5" spans="1:10" x14ac:dyDescent="0.25">
      <c r="A5">
        <v>5</v>
      </c>
      <c r="B5">
        <v>53533279500058</v>
      </c>
      <c r="C5" t="s">
        <v>36</v>
      </c>
      <c r="D5" t="s">
        <v>33</v>
      </c>
      <c r="E5">
        <v>46241</v>
      </c>
      <c r="F5">
        <v>70031597756186</v>
      </c>
      <c r="G5">
        <v>227949401754</v>
      </c>
      <c r="H5" t="s">
        <v>71</v>
      </c>
      <c r="I5" t="s">
        <v>78</v>
      </c>
      <c r="J5" t="s">
        <v>75</v>
      </c>
    </row>
    <row r="6" spans="1:10" x14ac:dyDescent="0.25">
      <c r="A6">
        <v>6</v>
      </c>
      <c r="B6">
        <v>79899264000044</v>
      </c>
      <c r="C6" t="s">
        <v>37</v>
      </c>
      <c r="D6" t="s">
        <v>33</v>
      </c>
      <c r="E6">
        <v>46241</v>
      </c>
      <c r="F6">
        <v>70031600298157</v>
      </c>
      <c r="G6">
        <v>227949401255</v>
      </c>
      <c r="H6" t="s">
        <v>71</v>
      </c>
      <c r="I6" t="s">
        <v>79</v>
      </c>
      <c r="J6" t="s">
        <v>75</v>
      </c>
    </row>
    <row r="7" spans="1:10" x14ac:dyDescent="0.25">
      <c r="A7">
        <v>7</v>
      </c>
      <c r="B7">
        <v>40266888300026</v>
      </c>
      <c r="C7" t="s">
        <v>38</v>
      </c>
      <c r="D7" t="s">
        <v>33</v>
      </c>
      <c r="E7">
        <v>46241</v>
      </c>
      <c r="F7" t="s">
        <v>76</v>
      </c>
    </row>
    <row r="8" spans="1:10" x14ac:dyDescent="0.25">
      <c r="A8">
        <v>8</v>
      </c>
      <c r="B8">
        <v>38811449800032</v>
      </c>
      <c r="C8" t="s">
        <v>39</v>
      </c>
      <c r="D8" t="s">
        <v>33</v>
      </c>
      <c r="E8">
        <v>46241</v>
      </c>
      <c r="F8">
        <v>70031593535383</v>
      </c>
      <c r="G8">
        <v>227949401553</v>
      </c>
      <c r="H8" t="s">
        <v>71</v>
      </c>
      <c r="I8" t="s">
        <v>80</v>
      </c>
      <c r="J8" t="s">
        <v>75</v>
      </c>
    </row>
    <row r="9" spans="1:10" x14ac:dyDescent="0.25">
      <c r="A9">
        <v>9</v>
      </c>
      <c r="B9">
        <v>82082438100025</v>
      </c>
      <c r="C9" t="s">
        <v>40</v>
      </c>
      <c r="D9" t="s">
        <v>33</v>
      </c>
      <c r="E9">
        <v>46241</v>
      </c>
      <c r="F9">
        <v>70031593687007</v>
      </c>
      <c r="G9">
        <v>227949401653</v>
      </c>
      <c r="H9" t="s">
        <v>71</v>
      </c>
      <c r="I9" t="s">
        <v>81</v>
      </c>
      <c r="J9" t="s">
        <v>75</v>
      </c>
    </row>
    <row r="10" spans="1:10" x14ac:dyDescent="0.25">
      <c r="A10">
        <v>10</v>
      </c>
      <c r="B10">
        <v>52963533600033</v>
      </c>
      <c r="C10" t="s">
        <v>41</v>
      </c>
      <c r="D10" t="s">
        <v>33</v>
      </c>
      <c r="E10">
        <v>46241</v>
      </c>
      <c r="F10">
        <v>70031593687007</v>
      </c>
      <c r="G10">
        <v>227949401454</v>
      </c>
      <c r="H10" t="s">
        <v>71</v>
      </c>
      <c r="I10" t="s">
        <v>82</v>
      </c>
      <c r="J10" t="s">
        <v>75</v>
      </c>
    </row>
    <row r="11" spans="1:10" x14ac:dyDescent="0.25">
      <c r="A11">
        <v>11</v>
      </c>
      <c r="B11">
        <v>82948031800023</v>
      </c>
      <c r="C11" t="s">
        <v>42</v>
      </c>
      <c r="D11" t="s">
        <v>33</v>
      </c>
      <c r="E11">
        <v>46241</v>
      </c>
      <c r="F11">
        <v>70031597227606</v>
      </c>
      <c r="G11">
        <v>227949401354</v>
      </c>
      <c r="H11" t="s">
        <v>71</v>
      </c>
      <c r="I11" t="s">
        <v>83</v>
      </c>
      <c r="J11" t="s">
        <v>75</v>
      </c>
    </row>
    <row r="12" spans="1:10" x14ac:dyDescent="0.25">
      <c r="A12">
        <v>12</v>
      </c>
      <c r="B12">
        <v>32909522800063</v>
      </c>
      <c r="C12" t="s">
        <v>43</v>
      </c>
      <c r="D12" t="s">
        <v>33</v>
      </c>
      <c r="E12">
        <v>46241</v>
      </c>
      <c r="F12" t="s">
        <v>76</v>
      </c>
    </row>
    <row r="13" spans="1:10" x14ac:dyDescent="0.25">
      <c r="A13">
        <v>13</v>
      </c>
      <c r="B13">
        <v>80226024000022</v>
      </c>
      <c r="C13" t="s">
        <v>44</v>
      </c>
      <c r="D13" t="s">
        <v>33</v>
      </c>
      <c r="E13">
        <v>46241</v>
      </c>
      <c r="F13">
        <v>70031594401027</v>
      </c>
      <c r="G13">
        <v>227949401853</v>
      </c>
      <c r="H13" t="s">
        <v>71</v>
      </c>
      <c r="I13" t="s">
        <v>84</v>
      </c>
      <c r="J13" t="s">
        <v>75</v>
      </c>
    </row>
    <row r="14" spans="1:10" x14ac:dyDescent="0.25">
      <c r="A14">
        <v>14</v>
      </c>
      <c r="B14">
        <v>38993529700033</v>
      </c>
      <c r="C14" t="s">
        <v>45</v>
      </c>
      <c r="D14" t="s">
        <v>33</v>
      </c>
      <c r="E14">
        <v>46241</v>
      </c>
      <c r="F14">
        <v>70031596645198</v>
      </c>
      <c r="G14">
        <v>227949401254</v>
      </c>
      <c r="H14" t="s">
        <v>71</v>
      </c>
      <c r="I14" t="s">
        <v>85</v>
      </c>
      <c r="J14" t="s">
        <v>75</v>
      </c>
    </row>
    <row r="15" spans="1:10" x14ac:dyDescent="0.25">
      <c r="A15">
        <v>15</v>
      </c>
      <c r="B15">
        <v>78992005500017</v>
      </c>
      <c r="C15" t="s">
        <v>46</v>
      </c>
      <c r="D15" t="s">
        <v>33</v>
      </c>
      <c r="E15">
        <v>46241</v>
      </c>
      <c r="F15" t="s">
        <v>76</v>
      </c>
    </row>
    <row r="16" spans="1:10" x14ac:dyDescent="0.25">
      <c r="A16">
        <v>16</v>
      </c>
      <c r="B16">
        <v>89216717200014</v>
      </c>
      <c r="C16" t="s">
        <v>48</v>
      </c>
      <c r="D16" t="s">
        <v>33</v>
      </c>
      <c r="E16">
        <v>46241</v>
      </c>
      <c r="F16">
        <v>70031596271923</v>
      </c>
      <c r="G16">
        <v>227949401154</v>
      </c>
      <c r="H16" t="s">
        <v>71</v>
      </c>
      <c r="I16" t="s">
        <v>86</v>
      </c>
      <c r="J16" t="s">
        <v>75</v>
      </c>
    </row>
    <row r="17" spans="1:10" x14ac:dyDescent="0.25">
      <c r="A17">
        <v>17</v>
      </c>
      <c r="B17">
        <v>82304378100017</v>
      </c>
      <c r="C17" t="s">
        <v>49</v>
      </c>
      <c r="D17" t="s">
        <v>33</v>
      </c>
      <c r="E17">
        <v>46241</v>
      </c>
      <c r="F17">
        <v>70031598512199</v>
      </c>
      <c r="G17">
        <v>227949401854</v>
      </c>
      <c r="H17" t="s">
        <v>71</v>
      </c>
      <c r="I17" t="s">
        <v>87</v>
      </c>
      <c r="J17" t="s">
        <v>75</v>
      </c>
    </row>
    <row r="18" spans="1:10" x14ac:dyDescent="0.25">
      <c r="A18">
        <v>18</v>
      </c>
      <c r="B18">
        <v>91953084000025</v>
      </c>
      <c r="C18" t="s">
        <v>50</v>
      </c>
      <c r="D18" t="s">
        <v>33</v>
      </c>
      <c r="E18">
        <v>46241</v>
      </c>
      <c r="F18" t="s">
        <v>76</v>
      </c>
    </row>
    <row r="19" spans="1:10" x14ac:dyDescent="0.25">
      <c r="A19">
        <v>19</v>
      </c>
      <c r="B19">
        <v>69715004300027</v>
      </c>
      <c r="C19" t="s">
        <v>51</v>
      </c>
      <c r="D19" t="s">
        <v>33</v>
      </c>
      <c r="E19">
        <v>46241</v>
      </c>
      <c r="F19" t="s">
        <v>76</v>
      </c>
    </row>
    <row r="20" spans="1:10" x14ac:dyDescent="0.25">
      <c r="A20">
        <v>20</v>
      </c>
      <c r="B20">
        <v>90481478700019</v>
      </c>
      <c r="C20" t="s">
        <v>52</v>
      </c>
      <c r="D20" t="s">
        <v>33</v>
      </c>
      <c r="E20">
        <v>46241</v>
      </c>
      <c r="F20">
        <v>70031595518784</v>
      </c>
      <c r="G20">
        <v>227949401753</v>
      </c>
      <c r="H20" t="s">
        <v>71</v>
      </c>
      <c r="I20" t="s">
        <v>88</v>
      </c>
      <c r="J20" t="s">
        <v>75</v>
      </c>
    </row>
    <row r="21" spans="1:10" x14ac:dyDescent="0.25">
      <c r="A21">
        <v>21</v>
      </c>
      <c r="B21">
        <v>93455056700010</v>
      </c>
      <c r="C21" t="s">
        <v>53</v>
      </c>
      <c r="D21" t="s">
        <v>33</v>
      </c>
      <c r="E21">
        <v>46241</v>
      </c>
      <c r="F21">
        <v>70031597809641</v>
      </c>
      <c r="G21">
        <v>227949401654</v>
      </c>
      <c r="H21" t="s">
        <v>71</v>
      </c>
      <c r="I21" t="s">
        <v>89</v>
      </c>
      <c r="J21" t="s">
        <v>75</v>
      </c>
    </row>
    <row r="22" spans="1:10" x14ac:dyDescent="0.25">
      <c r="A22">
        <v>22</v>
      </c>
      <c r="B22">
        <v>99317687400010</v>
      </c>
      <c r="C22" t="s">
        <v>54</v>
      </c>
      <c r="D22" t="s">
        <v>33</v>
      </c>
      <c r="E22">
        <v>46241</v>
      </c>
      <c r="F22">
        <v>70031599014912</v>
      </c>
      <c r="G22">
        <v>227949401954</v>
      </c>
      <c r="H22" t="s">
        <v>71</v>
      </c>
      <c r="I22" t="s">
        <v>90</v>
      </c>
      <c r="J22" t="s">
        <v>75</v>
      </c>
    </row>
    <row r="23" spans="1:10" x14ac:dyDescent="0.25">
      <c r="A23">
        <v>23</v>
      </c>
      <c r="B23">
        <v>41766776300052</v>
      </c>
      <c r="C23" t="s">
        <v>105</v>
      </c>
      <c r="D23" t="s">
        <v>375</v>
      </c>
      <c r="F23">
        <v>70031504974500</v>
      </c>
      <c r="G23">
        <v>227849401555</v>
      </c>
      <c r="H23" t="s">
        <v>71</v>
      </c>
      <c r="I23" t="s">
        <v>207</v>
      </c>
      <c r="J23" t="s">
        <v>73</v>
      </c>
    </row>
    <row r="24" spans="1:10" x14ac:dyDescent="0.25">
      <c r="A24">
        <v>24</v>
      </c>
      <c r="B24">
        <v>34451758600055</v>
      </c>
      <c r="C24" t="s">
        <v>106</v>
      </c>
      <c r="D24" t="s">
        <v>375</v>
      </c>
      <c r="F24">
        <v>70031534827309</v>
      </c>
      <c r="G24">
        <v>227849401458</v>
      </c>
      <c r="H24" t="s">
        <v>71</v>
      </c>
      <c r="I24" t="s">
        <v>208</v>
      </c>
      <c r="J24" t="s">
        <v>73</v>
      </c>
    </row>
    <row r="25" spans="1:10" x14ac:dyDescent="0.25">
      <c r="A25">
        <v>25</v>
      </c>
      <c r="B25">
        <v>31789755100048</v>
      </c>
      <c r="C25" t="s">
        <v>107</v>
      </c>
      <c r="D25" t="s">
        <v>375</v>
      </c>
      <c r="F25">
        <v>70031508080427</v>
      </c>
      <c r="G25">
        <v>227849401156</v>
      </c>
      <c r="H25" t="s">
        <v>71</v>
      </c>
      <c r="I25" t="s">
        <v>209</v>
      </c>
      <c r="J25" t="s">
        <v>73</v>
      </c>
    </row>
    <row r="26" spans="1:10" x14ac:dyDescent="0.25">
      <c r="A26">
        <v>26</v>
      </c>
      <c r="B26">
        <v>79937805400073</v>
      </c>
      <c r="C26" t="s">
        <v>108</v>
      </c>
      <c r="D26" t="s">
        <v>375</v>
      </c>
      <c r="F26" t="s">
        <v>76</v>
      </c>
    </row>
    <row r="27" spans="1:10" x14ac:dyDescent="0.25">
      <c r="A27">
        <v>27</v>
      </c>
      <c r="B27">
        <v>39047163900034</v>
      </c>
      <c r="C27" t="s">
        <v>109</v>
      </c>
      <c r="D27" t="s">
        <v>375</v>
      </c>
      <c r="F27" t="s">
        <v>76</v>
      </c>
    </row>
    <row r="28" spans="1:10" x14ac:dyDescent="0.25">
      <c r="A28">
        <v>28</v>
      </c>
      <c r="B28">
        <v>53113487200013</v>
      </c>
      <c r="C28" t="s">
        <v>110</v>
      </c>
      <c r="D28" t="s">
        <v>375</v>
      </c>
      <c r="F28">
        <v>70031537241029</v>
      </c>
      <c r="G28">
        <v>227849401858</v>
      </c>
      <c r="H28" t="s">
        <v>71</v>
      </c>
      <c r="I28" t="s">
        <v>210</v>
      </c>
      <c r="J28" t="s">
        <v>73</v>
      </c>
    </row>
    <row r="29" spans="1:10" x14ac:dyDescent="0.25">
      <c r="A29">
        <v>29</v>
      </c>
      <c r="B29">
        <v>45197328300034</v>
      </c>
      <c r="C29" t="s">
        <v>111</v>
      </c>
      <c r="D29" t="s">
        <v>375</v>
      </c>
      <c r="F29">
        <v>70031539140737</v>
      </c>
      <c r="G29">
        <v>227849401359</v>
      </c>
      <c r="H29" t="s">
        <v>71</v>
      </c>
      <c r="I29" t="s">
        <v>211</v>
      </c>
      <c r="J29" t="s">
        <v>73</v>
      </c>
    </row>
    <row r="30" spans="1:10" x14ac:dyDescent="0.25">
      <c r="A30">
        <v>30</v>
      </c>
      <c r="B30">
        <v>92069517800011</v>
      </c>
      <c r="C30" t="s">
        <v>112</v>
      </c>
      <c r="D30" t="s">
        <v>375</v>
      </c>
      <c r="F30" t="s">
        <v>76</v>
      </c>
    </row>
    <row r="31" spans="1:10" x14ac:dyDescent="0.25">
      <c r="A31">
        <v>31</v>
      </c>
      <c r="B31">
        <v>33049524300025</v>
      </c>
      <c r="C31" t="s">
        <v>113</v>
      </c>
      <c r="D31" t="s">
        <v>375</v>
      </c>
      <c r="F31" t="s">
        <v>212</v>
      </c>
    </row>
    <row r="32" spans="1:10" x14ac:dyDescent="0.25">
      <c r="A32">
        <v>32</v>
      </c>
      <c r="B32">
        <v>42140281900039</v>
      </c>
      <c r="C32" t="s">
        <v>114</v>
      </c>
      <c r="D32" t="s">
        <v>375</v>
      </c>
      <c r="F32" t="s">
        <v>76</v>
      </c>
    </row>
    <row r="33" spans="1:10" x14ac:dyDescent="0.25">
      <c r="A33">
        <v>33</v>
      </c>
      <c r="B33">
        <v>34774750300030</v>
      </c>
      <c r="C33" t="s">
        <v>115</v>
      </c>
      <c r="D33" t="s">
        <v>375</v>
      </c>
      <c r="F33">
        <v>70031541101338</v>
      </c>
      <c r="G33">
        <v>227849401759</v>
      </c>
      <c r="H33" t="s">
        <v>71</v>
      </c>
      <c r="I33" t="s">
        <v>213</v>
      </c>
      <c r="J33" t="s">
        <v>73</v>
      </c>
    </row>
    <row r="34" spans="1:10" x14ac:dyDescent="0.25">
      <c r="A34">
        <v>34</v>
      </c>
      <c r="B34">
        <v>53510510000023</v>
      </c>
      <c r="C34" t="s">
        <v>116</v>
      </c>
      <c r="D34" t="s">
        <v>375</v>
      </c>
      <c r="F34" t="s">
        <v>76</v>
      </c>
    </row>
    <row r="35" spans="1:10" x14ac:dyDescent="0.25">
      <c r="A35">
        <v>35</v>
      </c>
      <c r="B35">
        <v>52320960900024</v>
      </c>
      <c r="C35" t="s">
        <v>117</v>
      </c>
      <c r="D35" t="s">
        <v>375</v>
      </c>
      <c r="F35">
        <v>70031543000971</v>
      </c>
      <c r="G35">
        <v>227949401250</v>
      </c>
      <c r="H35" t="s">
        <v>71</v>
      </c>
      <c r="I35" t="s">
        <v>214</v>
      </c>
      <c r="J35" t="s">
        <v>73</v>
      </c>
    </row>
    <row r="36" spans="1:10" x14ac:dyDescent="0.25">
      <c r="A36">
        <v>36</v>
      </c>
      <c r="B36">
        <v>52253424700013</v>
      </c>
      <c r="C36" t="s">
        <v>118</v>
      </c>
      <c r="D36" t="s">
        <v>375</v>
      </c>
      <c r="F36">
        <v>70031544110035</v>
      </c>
      <c r="G36">
        <v>227949401350</v>
      </c>
      <c r="H36" t="s">
        <v>71</v>
      </c>
      <c r="I36" t="s">
        <v>215</v>
      </c>
    </row>
    <row r="37" spans="1:10" x14ac:dyDescent="0.25">
      <c r="A37">
        <v>37</v>
      </c>
      <c r="B37">
        <v>50221609600045</v>
      </c>
      <c r="C37" t="s">
        <v>119</v>
      </c>
      <c r="D37" t="s">
        <v>375</v>
      </c>
      <c r="F37" t="s">
        <v>76</v>
      </c>
    </row>
    <row r="38" spans="1:10" x14ac:dyDescent="0.25">
      <c r="A38">
        <v>38</v>
      </c>
      <c r="B38">
        <v>74981685600043</v>
      </c>
      <c r="C38" t="s">
        <v>120</v>
      </c>
      <c r="D38" t="s">
        <v>375</v>
      </c>
      <c r="F38" t="s">
        <v>216</v>
      </c>
    </row>
    <row r="39" spans="1:10" x14ac:dyDescent="0.25">
      <c r="A39">
        <v>39</v>
      </c>
      <c r="B39">
        <v>79417327800027</v>
      </c>
      <c r="C39" t="s">
        <v>121</v>
      </c>
      <c r="D39" t="s">
        <v>375</v>
      </c>
      <c r="F39">
        <v>70031512747936</v>
      </c>
      <c r="G39">
        <v>227849401556</v>
      </c>
      <c r="H39" t="s">
        <v>71</v>
      </c>
      <c r="I39" t="s">
        <v>217</v>
      </c>
      <c r="J39" t="s">
        <v>75</v>
      </c>
    </row>
    <row r="40" spans="1:10" x14ac:dyDescent="0.25">
      <c r="A40">
        <v>40</v>
      </c>
      <c r="B40">
        <v>47876369100035</v>
      </c>
      <c r="C40" t="s">
        <v>122</v>
      </c>
      <c r="D40" t="s">
        <v>375</v>
      </c>
      <c r="F40">
        <v>70031520084406</v>
      </c>
      <c r="G40">
        <v>227849401257</v>
      </c>
      <c r="H40" t="s">
        <v>71</v>
      </c>
      <c r="I40" t="s">
        <v>218</v>
      </c>
      <c r="J40" t="s">
        <v>75</v>
      </c>
    </row>
    <row r="41" spans="1:10" x14ac:dyDescent="0.25">
      <c r="A41">
        <v>41</v>
      </c>
      <c r="B41">
        <v>33025346900036</v>
      </c>
      <c r="C41" t="s">
        <v>123</v>
      </c>
      <c r="D41" t="s">
        <v>375</v>
      </c>
      <c r="F41" t="s">
        <v>219</v>
      </c>
    </row>
    <row r="42" spans="1:10" x14ac:dyDescent="0.25">
      <c r="A42">
        <v>42</v>
      </c>
      <c r="B42">
        <v>76120077300015</v>
      </c>
      <c r="C42" t="s">
        <v>124</v>
      </c>
      <c r="D42" t="s">
        <v>375</v>
      </c>
      <c r="F42">
        <v>70031535654657</v>
      </c>
      <c r="G42">
        <v>227849401558</v>
      </c>
      <c r="H42" t="s">
        <v>71</v>
      </c>
      <c r="I42" t="s">
        <v>220</v>
      </c>
      <c r="J42" t="s">
        <v>75</v>
      </c>
    </row>
    <row r="43" spans="1:10" x14ac:dyDescent="0.25">
      <c r="A43">
        <v>43</v>
      </c>
      <c r="B43">
        <v>43821718400045</v>
      </c>
      <c r="C43" t="s">
        <v>125</v>
      </c>
      <c r="D43" t="s">
        <v>375</v>
      </c>
      <c r="F43">
        <v>70031539542230</v>
      </c>
      <c r="G43">
        <v>227849401559</v>
      </c>
      <c r="H43" t="s">
        <v>71</v>
      </c>
      <c r="I43" t="s">
        <v>221</v>
      </c>
      <c r="J43" t="s">
        <v>75</v>
      </c>
    </row>
    <row r="44" spans="1:10" x14ac:dyDescent="0.25">
      <c r="A44">
        <v>44</v>
      </c>
      <c r="B44">
        <v>40825713700047</v>
      </c>
      <c r="C44" t="s">
        <v>126</v>
      </c>
      <c r="D44" t="s">
        <v>375</v>
      </c>
      <c r="F44">
        <v>70031544802778</v>
      </c>
      <c r="G44">
        <v>227949401750</v>
      </c>
      <c r="H44" t="s">
        <v>71</v>
      </c>
      <c r="I44" t="s">
        <v>222</v>
      </c>
      <c r="J44" t="s">
        <v>75</v>
      </c>
    </row>
    <row r="45" spans="1:10" x14ac:dyDescent="0.25">
      <c r="A45">
        <v>45</v>
      </c>
      <c r="B45">
        <v>44338869900037</v>
      </c>
      <c r="C45" t="s">
        <v>127</v>
      </c>
      <c r="D45" t="s">
        <v>375</v>
      </c>
      <c r="F45" t="s">
        <v>223</v>
      </c>
      <c r="G45">
        <v>227949401951</v>
      </c>
      <c r="H45" t="s">
        <v>71</v>
      </c>
      <c r="I45" t="s">
        <v>224</v>
      </c>
      <c r="J45" t="s">
        <v>75</v>
      </c>
    </row>
    <row r="46" spans="1:10" x14ac:dyDescent="0.25">
      <c r="A46">
        <v>46</v>
      </c>
      <c r="B46">
        <v>31675497700023</v>
      </c>
      <c r="C46" t="s">
        <v>128</v>
      </c>
      <c r="D46" t="s">
        <v>375</v>
      </c>
      <c r="F46" t="s">
        <v>216</v>
      </c>
    </row>
    <row r="47" spans="1:10" x14ac:dyDescent="0.25">
      <c r="A47">
        <v>47</v>
      </c>
      <c r="B47">
        <v>42126398900020</v>
      </c>
      <c r="C47" t="s">
        <v>129</v>
      </c>
      <c r="D47" t="s">
        <v>375</v>
      </c>
      <c r="F47">
        <v>70031560219260</v>
      </c>
      <c r="G47">
        <v>227949401852</v>
      </c>
      <c r="H47" t="s">
        <v>71</v>
      </c>
      <c r="I47" t="s">
        <v>225</v>
      </c>
      <c r="J47" t="s">
        <v>75</v>
      </c>
    </row>
    <row r="48" spans="1:10" x14ac:dyDescent="0.25">
      <c r="A48">
        <v>48</v>
      </c>
      <c r="B48">
        <v>35032902500042</v>
      </c>
      <c r="C48" t="s">
        <v>130</v>
      </c>
      <c r="D48" t="s">
        <v>375</v>
      </c>
      <c r="F48" t="s">
        <v>216</v>
      </c>
    </row>
    <row r="49" spans="1:10" x14ac:dyDescent="0.25">
      <c r="A49">
        <v>49</v>
      </c>
      <c r="B49">
        <v>38335951001284</v>
      </c>
      <c r="C49" t="s">
        <v>131</v>
      </c>
      <c r="D49" t="s">
        <v>375</v>
      </c>
      <c r="F49">
        <v>70031569467913</v>
      </c>
      <c r="G49">
        <v>227949401253</v>
      </c>
      <c r="H49" t="s">
        <v>71</v>
      </c>
      <c r="I49" t="s">
        <v>226</v>
      </c>
      <c r="J49" t="s">
        <v>75</v>
      </c>
    </row>
    <row r="50" spans="1:10" x14ac:dyDescent="0.25">
      <c r="A50">
        <v>50</v>
      </c>
      <c r="B50">
        <v>35132272200064</v>
      </c>
      <c r="C50" t="s">
        <v>132</v>
      </c>
      <c r="D50" t="s">
        <v>375</v>
      </c>
      <c r="F50">
        <v>70031573086747</v>
      </c>
      <c r="G50">
        <v>227949401353</v>
      </c>
      <c r="H50" t="s">
        <v>71</v>
      </c>
      <c r="I50" t="s">
        <v>227</v>
      </c>
      <c r="J50" t="s">
        <v>75</v>
      </c>
    </row>
    <row r="51" spans="1:10" x14ac:dyDescent="0.25">
      <c r="A51">
        <v>51</v>
      </c>
      <c r="B51">
        <v>35132272200064</v>
      </c>
      <c r="C51" t="s">
        <v>133</v>
      </c>
      <c r="D51" t="s">
        <v>375</v>
      </c>
      <c r="F51">
        <v>70031573086747</v>
      </c>
      <c r="G51">
        <v>227949401353</v>
      </c>
      <c r="H51" t="s">
        <v>71</v>
      </c>
      <c r="I51" t="s">
        <v>227</v>
      </c>
      <c r="J51" t="s">
        <v>75</v>
      </c>
    </row>
    <row r="52" spans="1:10" x14ac:dyDescent="0.25">
      <c r="A52">
        <v>52</v>
      </c>
      <c r="B52">
        <v>38821746500045</v>
      </c>
      <c r="C52" t="s">
        <v>134</v>
      </c>
      <c r="D52" t="s">
        <v>375</v>
      </c>
      <c r="F52">
        <v>70031506137590</v>
      </c>
      <c r="G52">
        <v>227849401755</v>
      </c>
      <c r="H52" t="s">
        <v>71</v>
      </c>
      <c r="I52" t="s">
        <v>228</v>
      </c>
      <c r="J52" t="s">
        <v>75</v>
      </c>
    </row>
    <row r="53" spans="1:10" x14ac:dyDescent="0.25">
      <c r="A53">
        <v>53</v>
      </c>
      <c r="B53">
        <v>30778703600051</v>
      </c>
      <c r="C53" t="s">
        <v>135</v>
      </c>
      <c r="D53" t="s">
        <v>375</v>
      </c>
      <c r="F53">
        <v>70031513617190</v>
      </c>
      <c r="G53">
        <v>227849401656</v>
      </c>
      <c r="H53" t="s">
        <v>71</v>
      </c>
      <c r="I53" t="s">
        <v>229</v>
      </c>
      <c r="J53" t="s">
        <v>73</v>
      </c>
    </row>
    <row r="54" spans="1:10" x14ac:dyDescent="0.25">
      <c r="A54">
        <v>54</v>
      </c>
      <c r="B54">
        <v>44348571900050</v>
      </c>
      <c r="C54" t="s">
        <v>136</v>
      </c>
      <c r="D54" t="s">
        <v>375</v>
      </c>
      <c r="F54" t="s">
        <v>216</v>
      </c>
    </row>
    <row r="55" spans="1:10" x14ac:dyDescent="0.25">
      <c r="A55">
        <v>55</v>
      </c>
      <c r="B55">
        <v>79469851400039</v>
      </c>
      <c r="C55" t="s">
        <v>137</v>
      </c>
      <c r="D55" t="s">
        <v>375</v>
      </c>
      <c r="F55" t="s">
        <v>216</v>
      </c>
    </row>
    <row r="56" spans="1:10" x14ac:dyDescent="0.25">
      <c r="A56">
        <v>56</v>
      </c>
      <c r="B56">
        <v>49360407800045</v>
      </c>
      <c r="C56" t="s">
        <v>138</v>
      </c>
      <c r="D56" t="s">
        <v>375</v>
      </c>
      <c r="F56" t="s">
        <v>216</v>
      </c>
    </row>
    <row r="57" spans="1:10" x14ac:dyDescent="0.25">
      <c r="A57">
        <v>57</v>
      </c>
      <c r="B57">
        <v>49157149300023</v>
      </c>
      <c r="C57" t="s">
        <v>139</v>
      </c>
      <c r="D57" t="s">
        <v>375</v>
      </c>
      <c r="F57">
        <v>70031535294789</v>
      </c>
      <c r="G57">
        <v>227849401758</v>
      </c>
      <c r="H57" t="s">
        <v>71</v>
      </c>
      <c r="I57" t="s">
        <v>230</v>
      </c>
      <c r="J57" t="s">
        <v>75</v>
      </c>
    </row>
    <row r="58" spans="1:10" x14ac:dyDescent="0.25">
      <c r="A58">
        <v>58</v>
      </c>
      <c r="B58">
        <v>49333463500106</v>
      </c>
      <c r="C58" t="s">
        <v>140</v>
      </c>
      <c r="D58" t="s">
        <v>375</v>
      </c>
      <c r="F58">
        <v>70031542423067</v>
      </c>
      <c r="G58">
        <v>227849401959</v>
      </c>
      <c r="H58" t="s">
        <v>71</v>
      </c>
      <c r="I58" t="s">
        <v>231</v>
      </c>
      <c r="J58" t="s">
        <v>75</v>
      </c>
    </row>
    <row r="59" spans="1:10" x14ac:dyDescent="0.25">
      <c r="A59">
        <v>59</v>
      </c>
      <c r="B59">
        <v>38423665900072</v>
      </c>
      <c r="C59" t="s">
        <v>141</v>
      </c>
      <c r="D59" t="s">
        <v>375</v>
      </c>
      <c r="F59" t="s">
        <v>232</v>
      </c>
    </row>
    <row r="60" spans="1:10" x14ac:dyDescent="0.25">
      <c r="A60">
        <v>60</v>
      </c>
      <c r="B60">
        <v>45314873600029</v>
      </c>
      <c r="C60" t="s">
        <v>142</v>
      </c>
      <c r="D60" t="s">
        <v>375</v>
      </c>
      <c r="F60" t="s">
        <v>216</v>
      </c>
    </row>
    <row r="61" spans="1:10" x14ac:dyDescent="0.25">
      <c r="A61">
        <v>61</v>
      </c>
      <c r="B61">
        <v>37964940300035</v>
      </c>
      <c r="C61" t="s">
        <v>143</v>
      </c>
      <c r="D61" t="s">
        <v>375</v>
      </c>
      <c r="F61">
        <v>70031544518406</v>
      </c>
      <c r="G61">
        <v>227949401550</v>
      </c>
      <c r="H61" t="s">
        <v>71</v>
      </c>
      <c r="I61" t="s">
        <v>233</v>
      </c>
      <c r="J61" t="s">
        <v>75</v>
      </c>
    </row>
    <row r="62" spans="1:10" x14ac:dyDescent="0.25">
      <c r="A62">
        <v>62</v>
      </c>
      <c r="B62">
        <v>41473452500028</v>
      </c>
      <c r="C62" t="s">
        <v>144</v>
      </c>
      <c r="D62" t="s">
        <v>375</v>
      </c>
      <c r="F62">
        <v>70031553650349</v>
      </c>
      <c r="G62">
        <v>227949401252</v>
      </c>
      <c r="H62" t="s">
        <v>71</v>
      </c>
      <c r="I62" t="s">
        <v>234</v>
      </c>
      <c r="J62" t="s">
        <v>75</v>
      </c>
    </row>
    <row r="63" spans="1:10" x14ac:dyDescent="0.25">
      <c r="A63">
        <v>63</v>
      </c>
      <c r="B63">
        <v>95750394900035</v>
      </c>
      <c r="C63" t="s">
        <v>145</v>
      </c>
      <c r="D63" t="s">
        <v>375</v>
      </c>
      <c r="F63" t="s">
        <v>235</v>
      </c>
    </row>
    <row r="64" spans="1:10" x14ac:dyDescent="0.25">
      <c r="A64">
        <v>64</v>
      </c>
      <c r="B64">
        <v>38367918000026</v>
      </c>
      <c r="C64" t="s">
        <v>146</v>
      </c>
      <c r="D64" t="s">
        <v>375</v>
      </c>
      <c r="F64">
        <v>70031557736208</v>
      </c>
      <c r="G64">
        <v>227949401652</v>
      </c>
      <c r="H64" t="s">
        <v>71</v>
      </c>
      <c r="I64" t="s">
        <v>236</v>
      </c>
      <c r="J64" t="s">
        <v>75</v>
      </c>
    </row>
    <row r="65" spans="1:10" x14ac:dyDescent="0.25">
      <c r="A65">
        <v>65</v>
      </c>
      <c r="B65">
        <v>50125792700043</v>
      </c>
      <c r="C65" t="s">
        <v>147</v>
      </c>
      <c r="D65" t="s">
        <v>375</v>
      </c>
      <c r="F65">
        <v>70031559643134</v>
      </c>
      <c r="G65">
        <v>227949401752</v>
      </c>
      <c r="H65" t="s">
        <v>71</v>
      </c>
      <c r="I65" t="s">
        <v>237</v>
      </c>
      <c r="J65" t="s">
        <v>75</v>
      </c>
    </row>
    <row r="66" spans="1:10" x14ac:dyDescent="0.25">
      <c r="A66">
        <v>66</v>
      </c>
      <c r="B66">
        <v>50947827700064</v>
      </c>
      <c r="C66" t="s">
        <v>148</v>
      </c>
      <c r="D66" t="s">
        <v>375</v>
      </c>
      <c r="F66">
        <v>70031505673228</v>
      </c>
      <c r="G66">
        <v>227849401655</v>
      </c>
      <c r="H66" t="s">
        <v>71</v>
      </c>
      <c r="I66" t="s">
        <v>238</v>
      </c>
      <c r="J66" t="s">
        <v>75</v>
      </c>
    </row>
    <row r="67" spans="1:10" x14ac:dyDescent="0.25">
      <c r="A67">
        <v>67</v>
      </c>
      <c r="B67">
        <v>95680282100036</v>
      </c>
      <c r="C67" t="s">
        <v>149</v>
      </c>
      <c r="D67" t="s">
        <v>375</v>
      </c>
      <c r="F67">
        <v>70031511859066</v>
      </c>
      <c r="G67">
        <v>227849401456</v>
      </c>
      <c r="H67" t="s">
        <v>71</v>
      </c>
      <c r="I67" t="s">
        <v>239</v>
      </c>
      <c r="J67" t="s">
        <v>75</v>
      </c>
    </row>
    <row r="68" spans="1:10" x14ac:dyDescent="0.25">
      <c r="A68">
        <v>68</v>
      </c>
      <c r="B68">
        <v>91020324900016</v>
      </c>
      <c r="C68" t="s">
        <v>150</v>
      </c>
      <c r="D68" t="s">
        <v>375</v>
      </c>
      <c r="F68">
        <v>70031516056644</v>
      </c>
      <c r="G68">
        <v>227849401157</v>
      </c>
      <c r="H68" t="s">
        <v>71</v>
      </c>
      <c r="I68" t="s">
        <v>240</v>
      </c>
      <c r="J68" t="s">
        <v>75</v>
      </c>
    </row>
    <row r="69" spans="1:10" x14ac:dyDescent="0.25">
      <c r="A69">
        <v>69</v>
      </c>
      <c r="B69">
        <v>38335951001367</v>
      </c>
      <c r="C69" t="s">
        <v>151</v>
      </c>
      <c r="D69" t="s">
        <v>375</v>
      </c>
      <c r="F69">
        <v>70031520337306</v>
      </c>
      <c r="G69">
        <v>227849401357</v>
      </c>
      <c r="H69" t="s">
        <v>71</v>
      </c>
      <c r="I69" t="s">
        <v>241</v>
      </c>
      <c r="J69" t="s">
        <v>75</v>
      </c>
    </row>
    <row r="70" spans="1:10" x14ac:dyDescent="0.25">
      <c r="A70">
        <v>70</v>
      </c>
      <c r="B70">
        <v>32913278100033</v>
      </c>
      <c r="C70" t="s">
        <v>152</v>
      </c>
      <c r="D70" t="s">
        <v>375</v>
      </c>
      <c r="F70">
        <v>70031534531598</v>
      </c>
      <c r="G70">
        <v>227849401158</v>
      </c>
      <c r="H70" t="s">
        <v>71</v>
      </c>
      <c r="I70" t="s">
        <v>242</v>
      </c>
      <c r="J70" t="s">
        <v>75</v>
      </c>
    </row>
    <row r="71" spans="1:10" x14ac:dyDescent="0.25">
      <c r="A71">
        <v>71</v>
      </c>
      <c r="B71">
        <v>80161144300012</v>
      </c>
      <c r="C71" t="s">
        <v>153</v>
      </c>
      <c r="D71" t="s">
        <v>375</v>
      </c>
      <c r="F71">
        <v>70031537462209</v>
      </c>
      <c r="G71">
        <v>227849401958</v>
      </c>
      <c r="H71" t="s">
        <v>71</v>
      </c>
      <c r="I71" t="s">
        <v>243</v>
      </c>
      <c r="J71" t="s">
        <v>75</v>
      </c>
    </row>
    <row r="72" spans="1:10" x14ac:dyDescent="0.25">
      <c r="A72">
        <v>72</v>
      </c>
      <c r="C72" t="s">
        <v>154</v>
      </c>
      <c r="D72" t="s">
        <v>375</v>
      </c>
    </row>
    <row r="73" spans="1:10" x14ac:dyDescent="0.25">
      <c r="A73">
        <v>73</v>
      </c>
      <c r="B73">
        <v>34265658400014</v>
      </c>
      <c r="C73" t="s">
        <v>155</v>
      </c>
      <c r="D73" t="s">
        <v>375</v>
      </c>
      <c r="F73" t="s">
        <v>76</v>
      </c>
    </row>
    <row r="74" spans="1:10" x14ac:dyDescent="0.25">
      <c r="A74">
        <v>74</v>
      </c>
      <c r="B74">
        <v>38179818000042</v>
      </c>
      <c r="C74" t="s">
        <v>156</v>
      </c>
      <c r="D74" t="s">
        <v>375</v>
      </c>
      <c r="F74">
        <v>70031544322537</v>
      </c>
      <c r="G74">
        <v>227949401450</v>
      </c>
      <c r="H74" t="s">
        <v>71</v>
      </c>
      <c r="I74" t="s">
        <v>346</v>
      </c>
      <c r="J74" t="s">
        <v>75</v>
      </c>
    </row>
    <row r="75" spans="1:10" x14ac:dyDescent="0.25">
      <c r="A75">
        <v>75</v>
      </c>
      <c r="B75">
        <v>80938416700064</v>
      </c>
      <c r="C75" t="s">
        <v>157</v>
      </c>
      <c r="D75" t="s">
        <v>375</v>
      </c>
      <c r="F75" t="s">
        <v>76</v>
      </c>
    </row>
    <row r="76" spans="1:10" x14ac:dyDescent="0.25">
      <c r="A76">
        <v>76</v>
      </c>
      <c r="B76">
        <v>33009739500025</v>
      </c>
      <c r="C76" t="s">
        <v>158</v>
      </c>
      <c r="D76" t="s">
        <v>375</v>
      </c>
      <c r="F76">
        <v>70031545332835</v>
      </c>
      <c r="G76">
        <v>227949401850</v>
      </c>
      <c r="H76" t="s">
        <v>71</v>
      </c>
      <c r="I76" t="s">
        <v>347</v>
      </c>
      <c r="J76" t="s">
        <v>75</v>
      </c>
    </row>
    <row r="77" spans="1:10" x14ac:dyDescent="0.25">
      <c r="A77">
        <v>77</v>
      </c>
      <c r="B77">
        <v>33009739500025</v>
      </c>
      <c r="C77" t="s">
        <v>159</v>
      </c>
      <c r="D77" t="s">
        <v>375</v>
      </c>
      <c r="F77" t="s">
        <v>348</v>
      </c>
    </row>
    <row r="78" spans="1:10" x14ac:dyDescent="0.25">
      <c r="A78">
        <v>78</v>
      </c>
      <c r="B78">
        <v>33009739500025</v>
      </c>
      <c r="C78" t="s">
        <v>160</v>
      </c>
      <c r="D78" t="s">
        <v>375</v>
      </c>
      <c r="F78" t="s">
        <v>348</v>
      </c>
    </row>
    <row r="79" spans="1:10" x14ac:dyDescent="0.25">
      <c r="A79">
        <v>79</v>
      </c>
      <c r="B79">
        <v>40229488800027</v>
      </c>
      <c r="C79" t="s">
        <v>161</v>
      </c>
      <c r="D79" t="s">
        <v>375</v>
      </c>
      <c r="F79">
        <v>70031545963486</v>
      </c>
      <c r="G79">
        <v>227949401651</v>
      </c>
      <c r="H79" t="s">
        <v>71</v>
      </c>
      <c r="I79" t="s">
        <v>349</v>
      </c>
      <c r="J79" t="s">
        <v>75</v>
      </c>
    </row>
    <row r="80" spans="1:10" x14ac:dyDescent="0.25">
      <c r="A80">
        <v>80</v>
      </c>
      <c r="B80">
        <v>30738996500038</v>
      </c>
      <c r="C80" t="s">
        <v>162</v>
      </c>
      <c r="D80" t="s">
        <v>375</v>
      </c>
      <c r="F80" t="s">
        <v>76</v>
      </c>
    </row>
    <row r="81" spans="1:10" x14ac:dyDescent="0.25">
      <c r="A81">
        <v>81</v>
      </c>
      <c r="B81">
        <v>48118401800044</v>
      </c>
      <c r="C81" t="s">
        <v>163</v>
      </c>
      <c r="D81" t="s">
        <v>375</v>
      </c>
      <c r="F81" t="s">
        <v>76</v>
      </c>
    </row>
    <row r="82" spans="1:10" x14ac:dyDescent="0.25">
      <c r="A82">
        <v>82</v>
      </c>
      <c r="B82">
        <v>42999261300050</v>
      </c>
      <c r="C82" t="s">
        <v>164</v>
      </c>
      <c r="D82" t="s">
        <v>375</v>
      </c>
      <c r="F82" t="s">
        <v>76</v>
      </c>
    </row>
    <row r="83" spans="1:10" x14ac:dyDescent="0.25">
      <c r="A83">
        <v>83</v>
      </c>
      <c r="B83">
        <v>94305988100012</v>
      </c>
      <c r="C83" t="s">
        <v>165</v>
      </c>
      <c r="D83" t="s">
        <v>375</v>
      </c>
      <c r="F83" t="s">
        <v>76</v>
      </c>
    </row>
    <row r="84" spans="1:10" x14ac:dyDescent="0.25">
      <c r="A84">
        <v>84</v>
      </c>
      <c r="B84">
        <v>37879953000050</v>
      </c>
      <c r="C84" t="s">
        <v>166</v>
      </c>
      <c r="D84" t="s">
        <v>375</v>
      </c>
      <c r="F84" t="s">
        <v>232</v>
      </c>
    </row>
    <row r="85" spans="1:10" x14ac:dyDescent="0.25">
      <c r="A85">
        <v>85</v>
      </c>
      <c r="B85">
        <v>34014010200039</v>
      </c>
      <c r="C85" t="s">
        <v>167</v>
      </c>
      <c r="D85" t="s">
        <v>375</v>
      </c>
      <c r="F85" t="s">
        <v>76</v>
      </c>
    </row>
    <row r="86" spans="1:10" x14ac:dyDescent="0.25">
      <c r="A86">
        <v>86</v>
      </c>
      <c r="B86">
        <v>86050038800092</v>
      </c>
      <c r="C86" t="s">
        <v>168</v>
      </c>
      <c r="D86" t="s">
        <v>375</v>
      </c>
      <c r="F86" t="s">
        <v>76</v>
      </c>
    </row>
    <row r="87" spans="1:10" x14ac:dyDescent="0.25">
      <c r="A87">
        <v>87</v>
      </c>
      <c r="B87">
        <v>39936902400092</v>
      </c>
      <c r="C87" t="s">
        <v>169</v>
      </c>
      <c r="D87" t="s">
        <v>375</v>
      </c>
      <c r="F87">
        <v>70031509733700</v>
      </c>
      <c r="G87">
        <v>227849401256</v>
      </c>
      <c r="H87" t="s">
        <v>71</v>
      </c>
      <c r="I87" t="s">
        <v>350</v>
      </c>
      <c r="J87" t="s">
        <v>75</v>
      </c>
    </row>
    <row r="88" spans="1:10" x14ac:dyDescent="0.25">
      <c r="A88">
        <v>88</v>
      </c>
      <c r="B88">
        <v>39838211900020</v>
      </c>
      <c r="C88" t="s">
        <v>170</v>
      </c>
      <c r="D88" t="s">
        <v>375</v>
      </c>
      <c r="F88">
        <v>70031535509182</v>
      </c>
      <c r="G88">
        <v>227849401358</v>
      </c>
      <c r="H88" t="s">
        <v>71</v>
      </c>
      <c r="I88" t="s">
        <v>351</v>
      </c>
      <c r="J88" t="s">
        <v>75</v>
      </c>
    </row>
    <row r="89" spans="1:10" x14ac:dyDescent="0.25">
      <c r="A89">
        <v>89</v>
      </c>
      <c r="B89">
        <v>38294005400069</v>
      </c>
      <c r="C89" t="s">
        <v>171</v>
      </c>
      <c r="D89" t="s">
        <v>375</v>
      </c>
      <c r="F89" t="s">
        <v>76</v>
      </c>
    </row>
    <row r="90" spans="1:10" x14ac:dyDescent="0.25">
      <c r="A90">
        <v>90</v>
      </c>
      <c r="B90">
        <v>33478205900177</v>
      </c>
      <c r="C90" t="s">
        <v>172</v>
      </c>
      <c r="D90" t="s">
        <v>375</v>
      </c>
      <c r="F90">
        <v>70031542803167</v>
      </c>
      <c r="G90">
        <v>227849401459</v>
      </c>
      <c r="H90" t="s">
        <v>71</v>
      </c>
      <c r="I90" t="s">
        <v>352</v>
      </c>
      <c r="J90" t="s">
        <v>75</v>
      </c>
    </row>
    <row r="91" spans="1:10" x14ac:dyDescent="0.25">
      <c r="A91">
        <v>91</v>
      </c>
      <c r="B91">
        <v>35188747600031</v>
      </c>
      <c r="C91" t="s">
        <v>173</v>
      </c>
      <c r="D91" t="s">
        <v>375</v>
      </c>
      <c r="F91">
        <v>70031545757995</v>
      </c>
      <c r="G91">
        <v>227949401351</v>
      </c>
      <c r="H91" t="s">
        <v>71</v>
      </c>
      <c r="I91" t="s">
        <v>353</v>
      </c>
      <c r="J91" t="s">
        <v>75</v>
      </c>
    </row>
    <row r="92" spans="1:10" x14ac:dyDescent="0.25">
      <c r="A92">
        <v>92</v>
      </c>
      <c r="B92">
        <v>35244123200068</v>
      </c>
      <c r="C92" t="s">
        <v>174</v>
      </c>
      <c r="D92" t="s">
        <v>375</v>
      </c>
      <c r="F92" t="s">
        <v>354</v>
      </c>
      <c r="G92">
        <v>227949401851</v>
      </c>
      <c r="H92" t="s">
        <v>71</v>
      </c>
      <c r="I92" t="s">
        <v>355</v>
      </c>
      <c r="J92" t="s">
        <v>75</v>
      </c>
    </row>
    <row r="93" spans="1:10" x14ac:dyDescent="0.25">
      <c r="A93">
        <v>93</v>
      </c>
      <c r="B93">
        <v>38178971800065</v>
      </c>
      <c r="C93" t="s">
        <v>175</v>
      </c>
      <c r="D93" t="s">
        <v>375</v>
      </c>
      <c r="F93" t="s">
        <v>235</v>
      </c>
    </row>
    <row r="94" spans="1:10" x14ac:dyDescent="0.25">
      <c r="A94">
        <v>94</v>
      </c>
      <c r="B94">
        <v>37805349000058</v>
      </c>
      <c r="C94" t="s">
        <v>176</v>
      </c>
      <c r="D94" t="s">
        <v>375</v>
      </c>
      <c r="F94">
        <v>70031556877378</v>
      </c>
      <c r="G94">
        <v>227949401452</v>
      </c>
      <c r="H94" t="s">
        <v>71</v>
      </c>
      <c r="I94" t="s">
        <v>356</v>
      </c>
      <c r="J94" t="s">
        <v>75</v>
      </c>
    </row>
    <row r="95" spans="1:10" x14ac:dyDescent="0.25">
      <c r="A95">
        <v>95</v>
      </c>
      <c r="B95">
        <v>42492579000083</v>
      </c>
      <c r="C95" t="s">
        <v>177</v>
      </c>
      <c r="D95" t="s">
        <v>375</v>
      </c>
      <c r="F95" t="s">
        <v>76</v>
      </c>
    </row>
    <row r="96" spans="1:10" x14ac:dyDescent="0.25">
      <c r="A96">
        <v>96</v>
      </c>
      <c r="B96">
        <v>42492579000083</v>
      </c>
      <c r="C96" t="s">
        <v>178</v>
      </c>
      <c r="D96" t="s">
        <v>375</v>
      </c>
      <c r="F96" t="s">
        <v>357</v>
      </c>
    </row>
    <row r="97" spans="1:10" x14ac:dyDescent="0.25">
      <c r="A97">
        <v>97</v>
      </c>
      <c r="B97">
        <v>42343997500016</v>
      </c>
      <c r="C97" t="s">
        <v>179</v>
      </c>
      <c r="D97" t="s">
        <v>375</v>
      </c>
      <c r="F97">
        <v>70031507396491</v>
      </c>
      <c r="G97">
        <v>227849401955</v>
      </c>
      <c r="H97" t="s">
        <v>71</v>
      </c>
      <c r="I97" t="s">
        <v>358</v>
      </c>
      <c r="J97" t="s">
        <v>75</v>
      </c>
    </row>
    <row r="98" spans="1:10" x14ac:dyDescent="0.25">
      <c r="A98">
        <v>98</v>
      </c>
      <c r="B98">
        <v>31214052800018</v>
      </c>
      <c r="C98" t="s">
        <v>180</v>
      </c>
      <c r="D98" t="s">
        <v>375</v>
      </c>
      <c r="F98" t="s">
        <v>76</v>
      </c>
    </row>
    <row r="99" spans="1:10" x14ac:dyDescent="0.25">
      <c r="A99">
        <v>99</v>
      </c>
      <c r="B99">
        <v>45046145400016</v>
      </c>
      <c r="C99" t="s">
        <v>181</v>
      </c>
      <c r="D99" t="s">
        <v>375</v>
      </c>
      <c r="F99">
        <v>70031521565744</v>
      </c>
      <c r="G99">
        <v>227849401557</v>
      </c>
      <c r="H99" t="s">
        <v>71</v>
      </c>
      <c r="I99" t="s">
        <v>359</v>
      </c>
      <c r="J99" t="s">
        <v>75</v>
      </c>
    </row>
    <row r="100" spans="1:10" x14ac:dyDescent="0.25">
      <c r="A100">
        <v>100</v>
      </c>
      <c r="B100">
        <v>33533889300050</v>
      </c>
      <c r="C100" t="s">
        <v>182</v>
      </c>
      <c r="D100" t="s">
        <v>375</v>
      </c>
    </row>
    <row r="101" spans="1:10" x14ac:dyDescent="0.25">
      <c r="A101">
        <v>101</v>
      </c>
      <c r="B101">
        <v>42101373100052</v>
      </c>
      <c r="C101" t="s">
        <v>183</v>
      </c>
      <c r="D101" t="s">
        <v>375</v>
      </c>
      <c r="F101">
        <v>70031535419678</v>
      </c>
      <c r="G101">
        <v>227849401658</v>
      </c>
      <c r="H101" t="s">
        <v>71</v>
      </c>
      <c r="I101" t="s">
        <v>360</v>
      </c>
      <c r="J101" t="s">
        <v>75</v>
      </c>
    </row>
    <row r="102" spans="1:10" x14ac:dyDescent="0.25">
      <c r="A102">
        <v>102</v>
      </c>
      <c r="B102">
        <v>41455649800056</v>
      </c>
      <c r="C102" t="s">
        <v>184</v>
      </c>
      <c r="D102" t="s">
        <v>375</v>
      </c>
      <c r="F102">
        <v>70031539070689</v>
      </c>
      <c r="G102">
        <v>227849401259</v>
      </c>
      <c r="H102" t="s">
        <v>71</v>
      </c>
      <c r="I102" t="s">
        <v>361</v>
      </c>
      <c r="J102" t="s">
        <v>75</v>
      </c>
    </row>
    <row r="103" spans="1:10" x14ac:dyDescent="0.25">
      <c r="A103">
        <v>103</v>
      </c>
      <c r="B103">
        <v>52792826100041</v>
      </c>
      <c r="C103" t="s">
        <v>185</v>
      </c>
      <c r="D103" t="s">
        <v>375</v>
      </c>
      <c r="F103">
        <v>70031540728147</v>
      </c>
      <c r="G103">
        <v>227849401659</v>
      </c>
      <c r="H103" t="s">
        <v>71</v>
      </c>
      <c r="I103" t="s">
        <v>362</v>
      </c>
      <c r="J103" t="s">
        <v>75</v>
      </c>
    </row>
    <row r="104" spans="1:10" x14ac:dyDescent="0.25">
      <c r="A104">
        <v>104</v>
      </c>
      <c r="B104">
        <v>45160142100063</v>
      </c>
      <c r="C104" t="s">
        <v>186</v>
      </c>
      <c r="D104" t="s">
        <v>375</v>
      </c>
      <c r="F104">
        <v>70031542905325</v>
      </c>
      <c r="G104">
        <v>227949401150</v>
      </c>
      <c r="H104" t="s">
        <v>71</v>
      </c>
      <c r="I104" t="s">
        <v>363</v>
      </c>
      <c r="J104" t="s">
        <v>75</v>
      </c>
    </row>
    <row r="105" spans="1:10" x14ac:dyDescent="0.25">
      <c r="A105">
        <v>105</v>
      </c>
      <c r="B105">
        <v>61203967700077</v>
      </c>
      <c r="C105" t="s">
        <v>187</v>
      </c>
      <c r="D105" t="s">
        <v>375</v>
      </c>
      <c r="F105">
        <v>70031553420549</v>
      </c>
      <c r="G105">
        <v>227949401152</v>
      </c>
      <c r="H105" t="s">
        <v>71</v>
      </c>
      <c r="I105" t="s">
        <v>364</v>
      </c>
      <c r="J105" t="s">
        <v>75</v>
      </c>
    </row>
    <row r="106" spans="1:10" x14ac:dyDescent="0.25">
      <c r="A106">
        <v>106</v>
      </c>
      <c r="B106">
        <v>61203967700077</v>
      </c>
      <c r="C106" t="s">
        <v>188</v>
      </c>
      <c r="D106" t="s">
        <v>375</v>
      </c>
      <c r="F106" t="s">
        <v>348</v>
      </c>
    </row>
    <row r="107" spans="1:10" x14ac:dyDescent="0.25">
      <c r="A107">
        <v>107</v>
      </c>
      <c r="B107">
        <v>80857462800042</v>
      </c>
      <c r="C107" t="s">
        <v>189</v>
      </c>
      <c r="D107" t="s">
        <v>375</v>
      </c>
      <c r="F107">
        <v>70031556511267</v>
      </c>
      <c r="G107">
        <v>227949401352</v>
      </c>
      <c r="H107" t="s">
        <v>71</v>
      </c>
      <c r="I107" t="s">
        <v>365</v>
      </c>
      <c r="J107" t="s">
        <v>75</v>
      </c>
    </row>
    <row r="108" spans="1:10" x14ac:dyDescent="0.25">
      <c r="A108">
        <v>108</v>
      </c>
      <c r="B108">
        <v>80857462800042</v>
      </c>
      <c r="C108" t="s">
        <v>190</v>
      </c>
      <c r="D108" t="s">
        <v>375</v>
      </c>
      <c r="F108" t="s">
        <v>348</v>
      </c>
    </row>
    <row r="109" spans="1:10" x14ac:dyDescent="0.25">
      <c r="A109">
        <v>109</v>
      </c>
      <c r="B109">
        <v>80857462800042</v>
      </c>
      <c r="C109" t="s">
        <v>191</v>
      </c>
      <c r="D109" t="s">
        <v>375</v>
      </c>
      <c r="F109" t="s">
        <v>348</v>
      </c>
    </row>
    <row r="110" spans="1:10" x14ac:dyDescent="0.25">
      <c r="A110">
        <v>110</v>
      </c>
      <c r="C110" t="s">
        <v>192</v>
      </c>
      <c r="D110" t="s">
        <v>375</v>
      </c>
      <c r="F110" t="s">
        <v>366</v>
      </c>
    </row>
    <row r="111" spans="1:10" x14ac:dyDescent="0.25">
      <c r="A111">
        <v>111</v>
      </c>
      <c r="B111">
        <v>80857462800026</v>
      </c>
      <c r="C111" t="s">
        <v>193</v>
      </c>
      <c r="D111" t="s">
        <v>375</v>
      </c>
      <c r="F111">
        <v>70031545007635</v>
      </c>
      <c r="G111">
        <v>227949401650</v>
      </c>
      <c r="H111" t="s">
        <v>71</v>
      </c>
      <c r="I111" t="s">
        <v>367</v>
      </c>
      <c r="J111" t="s">
        <v>75</v>
      </c>
    </row>
    <row r="112" spans="1:10" x14ac:dyDescent="0.25">
      <c r="A112">
        <v>112</v>
      </c>
      <c r="B112">
        <v>42330516800100</v>
      </c>
      <c r="C112" t="s">
        <v>194</v>
      </c>
      <c r="D112" t="s">
        <v>375</v>
      </c>
      <c r="F112">
        <v>70031514390361</v>
      </c>
      <c r="G112">
        <v>227849401756</v>
      </c>
      <c r="H112" t="s">
        <v>71</v>
      </c>
      <c r="I112" t="s">
        <v>368</v>
      </c>
      <c r="J112" t="s">
        <v>75</v>
      </c>
    </row>
    <row r="113" spans="1:10" x14ac:dyDescent="0.25">
      <c r="A113">
        <v>113</v>
      </c>
      <c r="B113">
        <v>40993621800059</v>
      </c>
      <c r="C113" t="s">
        <v>195</v>
      </c>
      <c r="D113" t="s">
        <v>375</v>
      </c>
      <c r="F113">
        <v>70031525171191</v>
      </c>
      <c r="G113">
        <v>227849401757</v>
      </c>
      <c r="H113" t="s">
        <v>71</v>
      </c>
      <c r="I113" t="s">
        <v>369</v>
      </c>
      <c r="J113" t="s">
        <v>75</v>
      </c>
    </row>
    <row r="114" spans="1:10" x14ac:dyDescent="0.25">
      <c r="A114">
        <v>114</v>
      </c>
      <c r="B114">
        <v>40866344100082</v>
      </c>
      <c r="C114" t="s">
        <v>196</v>
      </c>
      <c r="D114" t="s">
        <v>375</v>
      </c>
      <c r="F114">
        <v>70031529706040</v>
      </c>
      <c r="G114">
        <v>227849401957</v>
      </c>
      <c r="H114" t="s">
        <v>71</v>
      </c>
      <c r="I114" t="s">
        <v>370</v>
      </c>
      <c r="J114" t="s">
        <v>75</v>
      </c>
    </row>
    <row r="115" spans="1:10" x14ac:dyDescent="0.25">
      <c r="A115">
        <v>115</v>
      </c>
      <c r="B115">
        <v>80857462800042</v>
      </c>
      <c r="C115" t="s">
        <v>197</v>
      </c>
      <c r="D115" t="s">
        <v>375</v>
      </c>
      <c r="F115">
        <v>70031533788203</v>
      </c>
      <c r="G115">
        <v>227849401258</v>
      </c>
      <c r="H115" t="s">
        <v>371</v>
      </c>
      <c r="I115" t="s">
        <v>372</v>
      </c>
      <c r="J115" t="s">
        <v>75</v>
      </c>
    </row>
    <row r="116" spans="1:10" x14ac:dyDescent="0.25">
      <c r="A116">
        <v>116</v>
      </c>
      <c r="B116">
        <v>80857462800034</v>
      </c>
      <c r="C116" t="s">
        <v>198</v>
      </c>
      <c r="D116" t="s">
        <v>375</v>
      </c>
    </row>
    <row r="117" spans="1:10" x14ac:dyDescent="0.25">
      <c r="A117">
        <v>117</v>
      </c>
      <c r="C117" t="s">
        <v>199</v>
      </c>
      <c r="D117" t="s">
        <v>375</v>
      </c>
      <c r="F117" t="s">
        <v>366</v>
      </c>
    </row>
    <row r="118" spans="1:10" x14ac:dyDescent="0.25">
      <c r="A118">
        <v>118</v>
      </c>
      <c r="B118">
        <v>31501335900155</v>
      </c>
      <c r="C118" t="s">
        <v>200</v>
      </c>
      <c r="D118" t="s">
        <v>375</v>
      </c>
      <c r="F118">
        <v>70031538034363</v>
      </c>
      <c r="G118">
        <v>227849401159</v>
      </c>
      <c r="H118" t="s">
        <v>71</v>
      </c>
      <c r="I118" t="s">
        <v>373</v>
      </c>
      <c r="J118" t="s">
        <v>75</v>
      </c>
    </row>
    <row r="119" spans="1:10" x14ac:dyDescent="0.25">
      <c r="A119">
        <v>119</v>
      </c>
      <c r="B119">
        <v>80857462800042</v>
      </c>
      <c r="C119" t="s">
        <v>201</v>
      </c>
      <c r="D119" t="s">
        <v>375</v>
      </c>
      <c r="F119">
        <v>70031542752983</v>
      </c>
      <c r="G119">
        <v>227849401859</v>
      </c>
      <c r="H119" t="s">
        <v>71</v>
      </c>
      <c r="I119" t="s">
        <v>374</v>
      </c>
      <c r="J119" t="s">
        <v>75</v>
      </c>
    </row>
    <row r="120" spans="1:10" x14ac:dyDescent="0.25">
      <c r="A120">
        <v>120</v>
      </c>
      <c r="B120">
        <v>80857462800042</v>
      </c>
      <c r="C120" t="s">
        <v>202</v>
      </c>
      <c r="D120" t="s">
        <v>375</v>
      </c>
      <c r="F120" t="s">
        <v>348</v>
      </c>
    </row>
    <row r="121" spans="1:10" x14ac:dyDescent="0.25">
      <c r="A121">
        <v>121</v>
      </c>
      <c r="B121">
        <v>80857462800042</v>
      </c>
      <c r="C121" t="s">
        <v>203</v>
      </c>
      <c r="D121" t="s">
        <v>375</v>
      </c>
      <c r="F121" t="s">
        <v>348</v>
      </c>
    </row>
    <row r="122" spans="1:10" x14ac:dyDescent="0.25">
      <c r="A122">
        <v>122</v>
      </c>
      <c r="B122">
        <v>80857462800042</v>
      </c>
      <c r="C122" t="s">
        <v>204</v>
      </c>
      <c r="D122" t="s">
        <v>375</v>
      </c>
      <c r="F122" t="s">
        <v>348</v>
      </c>
    </row>
    <row r="123" spans="1:10" x14ac:dyDescent="0.25">
      <c r="A123">
        <v>123</v>
      </c>
      <c r="B123">
        <v>80857462800442</v>
      </c>
      <c r="C123" t="s">
        <v>205</v>
      </c>
      <c r="D123" t="s">
        <v>375</v>
      </c>
      <c r="F123" t="s">
        <v>348</v>
      </c>
    </row>
    <row r="124" spans="1:10" x14ac:dyDescent="0.25">
      <c r="A124">
        <v>124</v>
      </c>
      <c r="B124">
        <v>80857462800342</v>
      </c>
      <c r="C124" t="s">
        <v>206</v>
      </c>
      <c r="D124" t="s">
        <v>375</v>
      </c>
      <c r="F124" t="s">
        <v>348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BE56-DD84-4E1F-A73F-EABDD809C43A}">
  <sheetPr codeName="Feuil13"/>
  <dimension ref="A1:J1"/>
  <sheetViews>
    <sheetView workbookViewId="0"/>
  </sheetViews>
  <sheetFormatPr baseColWidth="10" defaultRowHeight="15" x14ac:dyDescent="0.25"/>
  <sheetData>
    <row r="1" spans="1:10" x14ac:dyDescent="0.25">
      <c r="A1" s="1" t="s">
        <v>15</v>
      </c>
      <c r="B1" s="1" t="s">
        <v>3</v>
      </c>
      <c r="C1" s="1" t="s">
        <v>0</v>
      </c>
      <c r="D1" s="1" t="s">
        <v>22</v>
      </c>
      <c r="E1" s="1" t="s">
        <v>23</v>
      </c>
      <c r="F1" s="1" t="s">
        <v>29</v>
      </c>
      <c r="G1" s="1" t="s">
        <v>18</v>
      </c>
      <c r="H1" s="1" t="s">
        <v>25</v>
      </c>
      <c r="I1" s="1" t="s">
        <v>379</v>
      </c>
      <c r="J1" s="1" t="s">
        <v>380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6F49-D3DD-470B-B3C7-4E7BB55A865A}">
  <sheetPr codeName="Feuil14"/>
  <dimension ref="A1:G138"/>
  <sheetViews>
    <sheetView workbookViewId="0"/>
  </sheetViews>
  <sheetFormatPr baseColWidth="10" defaultRowHeight="15" x14ac:dyDescent="0.25"/>
  <sheetData>
    <row r="1" spans="1:7" x14ac:dyDescent="0.25">
      <c r="A1" t="s">
        <v>0</v>
      </c>
      <c r="B1" t="s">
        <v>22</v>
      </c>
      <c r="C1" t="s">
        <v>23</v>
      </c>
      <c r="D1" t="s">
        <v>29</v>
      </c>
      <c r="E1" t="s">
        <v>3</v>
      </c>
      <c r="F1" t="s">
        <v>18</v>
      </c>
      <c r="G1" t="s">
        <v>25</v>
      </c>
    </row>
    <row r="2" spans="1:7" x14ac:dyDescent="0.25">
      <c r="A2" s="3">
        <v>41966458600031</v>
      </c>
      <c r="B2" t="s">
        <v>32</v>
      </c>
      <c r="C2" t="s">
        <v>33</v>
      </c>
      <c r="D2" s="35">
        <v>46241</v>
      </c>
      <c r="E2" t="s">
        <v>55</v>
      </c>
      <c r="F2" t="s">
        <v>65</v>
      </c>
      <c r="G2" t="s">
        <v>31</v>
      </c>
    </row>
    <row r="3" spans="1:7" x14ac:dyDescent="0.25">
      <c r="A3" s="3">
        <v>32265981400048</v>
      </c>
      <c r="B3" t="s">
        <v>34</v>
      </c>
      <c r="C3" t="s">
        <v>33</v>
      </c>
      <c r="D3" s="35">
        <v>46241</v>
      </c>
      <c r="E3" t="s">
        <v>56</v>
      </c>
      <c r="F3" t="s">
        <v>65</v>
      </c>
      <c r="G3" t="s">
        <v>31</v>
      </c>
    </row>
    <row r="4" spans="1:7" x14ac:dyDescent="0.25">
      <c r="A4" s="3">
        <v>90531113000017</v>
      </c>
      <c r="B4" t="s">
        <v>35</v>
      </c>
      <c r="C4" t="s">
        <v>33</v>
      </c>
      <c r="D4" s="35">
        <v>46241</v>
      </c>
      <c r="E4" t="s">
        <v>55</v>
      </c>
      <c r="F4" t="s">
        <v>65</v>
      </c>
      <c r="G4" t="s">
        <v>31</v>
      </c>
    </row>
    <row r="5" spans="1:7" x14ac:dyDescent="0.25">
      <c r="A5" s="3">
        <v>53533279500058</v>
      </c>
      <c r="B5" t="s">
        <v>36</v>
      </c>
      <c r="C5" t="s">
        <v>33</v>
      </c>
      <c r="D5" s="35">
        <v>46241</v>
      </c>
      <c r="E5" t="s">
        <v>55</v>
      </c>
      <c r="F5" t="s">
        <v>65</v>
      </c>
      <c r="G5" t="s">
        <v>31</v>
      </c>
    </row>
    <row r="6" spans="1:7" x14ac:dyDescent="0.25">
      <c r="A6" s="3">
        <v>79899264000044</v>
      </c>
      <c r="B6" t="s">
        <v>37</v>
      </c>
      <c r="C6" t="s">
        <v>33</v>
      </c>
      <c r="D6" s="35">
        <v>46241</v>
      </c>
      <c r="E6" t="s">
        <v>55</v>
      </c>
      <c r="F6" t="s">
        <v>65</v>
      </c>
      <c r="G6" t="s">
        <v>31</v>
      </c>
    </row>
    <row r="7" spans="1:7" x14ac:dyDescent="0.25">
      <c r="A7" s="3">
        <v>40266888300026</v>
      </c>
      <c r="B7" t="s">
        <v>38</v>
      </c>
      <c r="C7" t="s">
        <v>33</v>
      </c>
      <c r="D7" s="35">
        <v>46241</v>
      </c>
      <c r="E7" t="s">
        <v>57</v>
      </c>
      <c r="F7" t="s">
        <v>65</v>
      </c>
      <c r="G7" t="s">
        <v>31</v>
      </c>
    </row>
    <row r="8" spans="1:7" x14ac:dyDescent="0.25">
      <c r="A8" s="3">
        <v>38811449800032</v>
      </c>
      <c r="B8" t="s">
        <v>39</v>
      </c>
      <c r="C8" t="s">
        <v>33</v>
      </c>
      <c r="D8" s="35">
        <v>46241</v>
      </c>
      <c r="E8" t="s">
        <v>57</v>
      </c>
      <c r="F8" t="s">
        <v>65</v>
      </c>
      <c r="G8" t="s">
        <v>31</v>
      </c>
    </row>
    <row r="9" spans="1:7" x14ac:dyDescent="0.25">
      <c r="A9" s="3">
        <v>82082438100025</v>
      </c>
      <c r="B9" t="s">
        <v>40</v>
      </c>
      <c r="C9" t="s">
        <v>33</v>
      </c>
      <c r="D9" s="35">
        <v>46241</v>
      </c>
      <c r="E9" t="s">
        <v>58</v>
      </c>
      <c r="F9" t="s">
        <v>65</v>
      </c>
      <c r="G9" t="s">
        <v>31</v>
      </c>
    </row>
    <row r="10" spans="1:7" x14ac:dyDescent="0.25">
      <c r="A10" s="3">
        <v>52963533600033</v>
      </c>
      <c r="B10" t="s">
        <v>41</v>
      </c>
      <c r="C10" t="s">
        <v>33</v>
      </c>
      <c r="D10" s="35">
        <v>46241</v>
      </c>
      <c r="E10" t="s">
        <v>58</v>
      </c>
      <c r="F10" t="s">
        <v>65</v>
      </c>
      <c r="G10" t="s">
        <v>31</v>
      </c>
    </row>
    <row r="11" spans="1:7" x14ac:dyDescent="0.25">
      <c r="A11" s="3">
        <v>82948031800023</v>
      </c>
      <c r="B11" t="s">
        <v>42</v>
      </c>
      <c r="C11" t="s">
        <v>33</v>
      </c>
      <c r="D11" s="35">
        <v>46241</v>
      </c>
      <c r="E11" t="s">
        <v>59</v>
      </c>
      <c r="F11" t="s">
        <v>65</v>
      </c>
      <c r="G11" t="s">
        <v>31</v>
      </c>
    </row>
    <row r="12" spans="1:7" x14ac:dyDescent="0.25">
      <c r="A12" s="3">
        <v>32909522800063</v>
      </c>
      <c r="B12" t="s">
        <v>43</v>
      </c>
      <c r="C12" t="s">
        <v>33</v>
      </c>
      <c r="D12" s="35">
        <v>46241</v>
      </c>
      <c r="E12" t="s">
        <v>59</v>
      </c>
      <c r="F12" t="s">
        <v>65</v>
      </c>
      <c r="G12" t="s">
        <v>31</v>
      </c>
    </row>
    <row r="13" spans="1:7" x14ac:dyDescent="0.25">
      <c r="A13" s="3">
        <v>80226024000022</v>
      </c>
      <c r="B13" t="s">
        <v>44</v>
      </c>
      <c r="C13" t="s">
        <v>33</v>
      </c>
      <c r="D13" s="35">
        <v>46241</v>
      </c>
      <c r="E13" t="s">
        <v>60</v>
      </c>
      <c r="F13" t="s">
        <v>65</v>
      </c>
      <c r="G13" t="s">
        <v>31</v>
      </c>
    </row>
    <row r="14" spans="1:7" x14ac:dyDescent="0.25">
      <c r="A14" s="3">
        <v>38993529700033</v>
      </c>
      <c r="B14" t="s">
        <v>45</v>
      </c>
      <c r="C14" t="s">
        <v>33</v>
      </c>
      <c r="D14" s="35">
        <v>46241</v>
      </c>
      <c r="E14" t="s">
        <v>60</v>
      </c>
      <c r="F14" t="s">
        <v>65</v>
      </c>
      <c r="G14" t="s">
        <v>31</v>
      </c>
    </row>
    <row r="15" spans="1:7" x14ac:dyDescent="0.25">
      <c r="A15" s="3">
        <v>78992005500017</v>
      </c>
      <c r="B15" t="s">
        <v>46</v>
      </c>
      <c r="C15" t="s">
        <v>47</v>
      </c>
      <c r="D15" s="35">
        <v>46241</v>
      </c>
      <c r="E15" t="s">
        <v>60</v>
      </c>
      <c r="F15" t="s">
        <v>65</v>
      </c>
      <c r="G15" t="s">
        <v>31</v>
      </c>
    </row>
    <row r="16" spans="1:7" x14ac:dyDescent="0.25">
      <c r="A16" s="3">
        <v>89216717200014</v>
      </c>
      <c r="B16" t="s">
        <v>48</v>
      </c>
      <c r="C16" t="s">
        <v>33</v>
      </c>
      <c r="D16" s="35">
        <v>46241</v>
      </c>
      <c r="E16" t="s">
        <v>61</v>
      </c>
      <c r="F16" t="s">
        <v>65</v>
      </c>
      <c r="G16" t="s">
        <v>31</v>
      </c>
    </row>
    <row r="17" spans="1:7" x14ac:dyDescent="0.25">
      <c r="A17" s="3">
        <v>82304378100017</v>
      </c>
      <c r="B17" t="s">
        <v>49</v>
      </c>
      <c r="C17" t="s">
        <v>33</v>
      </c>
      <c r="D17" s="35">
        <v>46241</v>
      </c>
      <c r="E17" t="s">
        <v>61</v>
      </c>
      <c r="F17" t="s">
        <v>65</v>
      </c>
      <c r="G17" t="s">
        <v>31</v>
      </c>
    </row>
    <row r="18" spans="1:7" x14ac:dyDescent="0.25">
      <c r="A18" s="3">
        <v>91953084000025</v>
      </c>
      <c r="B18" t="s">
        <v>50</v>
      </c>
      <c r="C18" t="s">
        <v>33</v>
      </c>
      <c r="D18" s="35">
        <v>46241</v>
      </c>
      <c r="E18" t="s">
        <v>62</v>
      </c>
      <c r="F18" t="s">
        <v>65</v>
      </c>
      <c r="G18" t="s">
        <v>31</v>
      </c>
    </row>
    <row r="19" spans="1:7" x14ac:dyDescent="0.25">
      <c r="A19" s="3">
        <v>69715004300027</v>
      </c>
      <c r="B19" t="s">
        <v>51</v>
      </c>
      <c r="C19" t="s">
        <v>33</v>
      </c>
      <c r="D19" s="35">
        <v>46241</v>
      </c>
      <c r="E19" t="s">
        <v>62</v>
      </c>
      <c r="F19" t="s">
        <v>65</v>
      </c>
      <c r="G19" t="s">
        <v>31</v>
      </c>
    </row>
    <row r="20" spans="1:7" x14ac:dyDescent="0.25">
      <c r="A20" s="3">
        <v>90481478700019</v>
      </c>
      <c r="B20" t="s">
        <v>52</v>
      </c>
      <c r="C20" t="s">
        <v>33</v>
      </c>
      <c r="D20" s="35">
        <v>46241</v>
      </c>
      <c r="E20" t="s">
        <v>64</v>
      </c>
      <c r="F20" t="s">
        <v>65</v>
      </c>
      <c r="G20" t="s">
        <v>31</v>
      </c>
    </row>
    <row r="21" spans="1:7" x14ac:dyDescent="0.25">
      <c r="A21" s="3">
        <v>93455056700010</v>
      </c>
      <c r="B21" t="s">
        <v>53</v>
      </c>
      <c r="C21" t="s">
        <v>33</v>
      </c>
      <c r="D21" s="35">
        <v>46241</v>
      </c>
      <c r="E21" t="s">
        <v>64</v>
      </c>
      <c r="F21" t="s">
        <v>65</v>
      </c>
      <c r="G21" t="s">
        <v>31</v>
      </c>
    </row>
    <row r="22" spans="1:7" x14ac:dyDescent="0.25">
      <c r="A22" s="3">
        <v>99317687400010</v>
      </c>
      <c r="B22" t="s">
        <v>54</v>
      </c>
      <c r="C22" t="s">
        <v>33</v>
      </c>
      <c r="D22" s="35">
        <v>46241</v>
      </c>
      <c r="E22" t="s">
        <v>64</v>
      </c>
      <c r="F22" t="s">
        <v>65</v>
      </c>
      <c r="G22" t="s">
        <v>31</v>
      </c>
    </row>
    <row r="23" spans="1:7" x14ac:dyDescent="0.25">
      <c r="A23" s="3">
        <v>41766776300052</v>
      </c>
      <c r="B23" t="s">
        <v>105</v>
      </c>
      <c r="C23" t="s">
        <v>375</v>
      </c>
      <c r="D23" s="35"/>
      <c r="E23" t="s">
        <v>55</v>
      </c>
      <c r="F23" t="s">
        <v>91</v>
      </c>
      <c r="G23" t="s">
        <v>376</v>
      </c>
    </row>
    <row r="24" spans="1:7" x14ac:dyDescent="0.25">
      <c r="A24" s="3">
        <v>34451758600055</v>
      </c>
      <c r="B24" t="s">
        <v>106</v>
      </c>
      <c r="C24" t="s">
        <v>375</v>
      </c>
      <c r="D24" s="35"/>
      <c r="E24" t="s">
        <v>55</v>
      </c>
      <c r="F24" t="s">
        <v>91</v>
      </c>
      <c r="G24" t="s">
        <v>376</v>
      </c>
    </row>
    <row r="25" spans="1:7" x14ac:dyDescent="0.25">
      <c r="A25" s="3">
        <v>31789755100048</v>
      </c>
      <c r="B25" t="s">
        <v>107</v>
      </c>
      <c r="C25" t="s">
        <v>375</v>
      </c>
      <c r="D25" s="35"/>
      <c r="E25" t="s">
        <v>55</v>
      </c>
      <c r="F25" t="s">
        <v>91</v>
      </c>
      <c r="G25" t="s">
        <v>376</v>
      </c>
    </row>
    <row r="26" spans="1:7" x14ac:dyDescent="0.25">
      <c r="A26" s="3">
        <v>79937805400073</v>
      </c>
      <c r="B26" t="s">
        <v>108</v>
      </c>
      <c r="C26" t="s">
        <v>375</v>
      </c>
      <c r="D26" s="35"/>
      <c r="E26" t="s">
        <v>55</v>
      </c>
      <c r="F26" t="s">
        <v>91</v>
      </c>
      <c r="G26" t="s">
        <v>376</v>
      </c>
    </row>
    <row r="27" spans="1:7" x14ac:dyDescent="0.25">
      <c r="A27" s="3">
        <v>39047163900034</v>
      </c>
      <c r="B27" t="s">
        <v>109</v>
      </c>
      <c r="C27" t="s">
        <v>375</v>
      </c>
      <c r="D27" s="35"/>
      <c r="E27" t="s">
        <v>55</v>
      </c>
      <c r="F27" t="s">
        <v>91</v>
      </c>
      <c r="G27" t="s">
        <v>376</v>
      </c>
    </row>
    <row r="28" spans="1:7" x14ac:dyDescent="0.25">
      <c r="A28" s="3">
        <v>53113487200013</v>
      </c>
      <c r="B28" t="s">
        <v>110</v>
      </c>
      <c r="C28" t="s">
        <v>375</v>
      </c>
      <c r="D28" s="35"/>
      <c r="E28" t="s">
        <v>55</v>
      </c>
      <c r="F28" t="s">
        <v>91</v>
      </c>
      <c r="G28" t="s">
        <v>376</v>
      </c>
    </row>
    <row r="29" spans="1:7" x14ac:dyDescent="0.25">
      <c r="A29" s="3">
        <v>45197328300034</v>
      </c>
      <c r="B29" t="s">
        <v>111</v>
      </c>
      <c r="C29" t="s">
        <v>375</v>
      </c>
      <c r="D29" s="35"/>
      <c r="E29" t="s">
        <v>55</v>
      </c>
      <c r="F29" t="s">
        <v>91</v>
      </c>
      <c r="G29" t="s">
        <v>376</v>
      </c>
    </row>
    <row r="30" spans="1:7" x14ac:dyDescent="0.25">
      <c r="A30" s="3">
        <v>92069517800011</v>
      </c>
      <c r="B30" t="s">
        <v>112</v>
      </c>
      <c r="C30" t="s">
        <v>375</v>
      </c>
      <c r="D30" s="35"/>
      <c r="E30" t="s">
        <v>55</v>
      </c>
      <c r="F30" t="s">
        <v>91</v>
      </c>
      <c r="G30" t="s">
        <v>376</v>
      </c>
    </row>
    <row r="31" spans="1:7" x14ac:dyDescent="0.25">
      <c r="A31" s="3">
        <v>33049524300025</v>
      </c>
      <c r="B31" t="s">
        <v>113</v>
      </c>
      <c r="C31" t="s">
        <v>375</v>
      </c>
      <c r="D31" s="35"/>
      <c r="E31" t="s">
        <v>55</v>
      </c>
      <c r="F31" t="s">
        <v>91</v>
      </c>
      <c r="G31" t="s">
        <v>376</v>
      </c>
    </row>
    <row r="32" spans="1:7" x14ac:dyDescent="0.25">
      <c r="A32" s="3">
        <v>42140281900039</v>
      </c>
      <c r="B32" t="s">
        <v>114</v>
      </c>
      <c r="C32" t="s">
        <v>375</v>
      </c>
      <c r="D32" s="35"/>
      <c r="E32" t="s">
        <v>55</v>
      </c>
      <c r="F32" t="s">
        <v>91</v>
      </c>
      <c r="G32" t="s">
        <v>376</v>
      </c>
    </row>
    <row r="33" spans="1:7" x14ac:dyDescent="0.25">
      <c r="A33" s="3">
        <v>34774750300030</v>
      </c>
      <c r="B33" t="s">
        <v>115</v>
      </c>
      <c r="C33" t="s">
        <v>375</v>
      </c>
      <c r="D33" s="35"/>
      <c r="E33" t="s">
        <v>55</v>
      </c>
      <c r="F33" t="s">
        <v>91</v>
      </c>
      <c r="G33" t="s">
        <v>376</v>
      </c>
    </row>
    <row r="34" spans="1:7" x14ac:dyDescent="0.25">
      <c r="A34" s="3">
        <v>53510510000023</v>
      </c>
      <c r="B34" t="s">
        <v>116</v>
      </c>
      <c r="C34" t="s">
        <v>375</v>
      </c>
      <c r="D34" s="35"/>
      <c r="E34" t="s">
        <v>55</v>
      </c>
      <c r="F34" t="s">
        <v>91</v>
      </c>
      <c r="G34" t="s">
        <v>376</v>
      </c>
    </row>
    <row r="35" spans="1:7" x14ac:dyDescent="0.25">
      <c r="A35" s="3">
        <v>52320960900024</v>
      </c>
      <c r="B35" t="s">
        <v>117</v>
      </c>
      <c r="C35" t="s">
        <v>375</v>
      </c>
      <c r="D35" s="35"/>
      <c r="E35" t="s">
        <v>55</v>
      </c>
      <c r="F35" t="s">
        <v>91</v>
      </c>
      <c r="G35" t="s">
        <v>376</v>
      </c>
    </row>
    <row r="36" spans="1:7" x14ac:dyDescent="0.25">
      <c r="A36" s="3">
        <v>52253424700013</v>
      </c>
      <c r="B36" t="s">
        <v>118</v>
      </c>
      <c r="C36" t="s">
        <v>375</v>
      </c>
      <c r="D36" s="35"/>
      <c r="E36" t="s">
        <v>55</v>
      </c>
      <c r="F36" t="s">
        <v>91</v>
      </c>
      <c r="G36" t="s">
        <v>376</v>
      </c>
    </row>
    <row r="37" spans="1:7" x14ac:dyDescent="0.25">
      <c r="A37" s="3">
        <v>50221609600045</v>
      </c>
      <c r="B37" t="s">
        <v>119</v>
      </c>
      <c r="C37" t="s">
        <v>375</v>
      </c>
      <c r="D37" s="35"/>
      <c r="E37" t="s">
        <v>55</v>
      </c>
      <c r="F37" t="s">
        <v>91</v>
      </c>
      <c r="G37" t="s">
        <v>376</v>
      </c>
    </row>
    <row r="38" spans="1:7" x14ac:dyDescent="0.25">
      <c r="A38" s="3">
        <v>74981685600043</v>
      </c>
      <c r="B38" t="s">
        <v>120</v>
      </c>
      <c r="C38" t="s">
        <v>375</v>
      </c>
      <c r="D38" s="35"/>
      <c r="E38" t="s">
        <v>57</v>
      </c>
      <c r="F38" t="s">
        <v>91</v>
      </c>
      <c r="G38" t="s">
        <v>376</v>
      </c>
    </row>
    <row r="39" spans="1:7" x14ac:dyDescent="0.25">
      <c r="A39" s="3">
        <v>79417327800027</v>
      </c>
      <c r="B39" t="s">
        <v>121</v>
      </c>
      <c r="C39" t="s">
        <v>375</v>
      </c>
      <c r="D39" s="35"/>
      <c r="E39" t="s">
        <v>57</v>
      </c>
      <c r="F39" t="s">
        <v>91</v>
      </c>
      <c r="G39" t="s">
        <v>376</v>
      </c>
    </row>
    <row r="40" spans="1:7" x14ac:dyDescent="0.25">
      <c r="A40" s="3">
        <v>47876369100035</v>
      </c>
      <c r="B40" t="s">
        <v>122</v>
      </c>
      <c r="C40" t="s">
        <v>375</v>
      </c>
      <c r="D40" s="35"/>
      <c r="E40" t="s">
        <v>57</v>
      </c>
      <c r="F40" t="s">
        <v>91</v>
      </c>
      <c r="G40" t="s">
        <v>376</v>
      </c>
    </row>
    <row r="41" spans="1:7" x14ac:dyDescent="0.25">
      <c r="A41" s="3">
        <v>33025346900036</v>
      </c>
      <c r="B41" t="s">
        <v>123</v>
      </c>
      <c r="C41" t="s">
        <v>375</v>
      </c>
      <c r="D41" s="35"/>
      <c r="E41" t="s">
        <v>57</v>
      </c>
      <c r="F41" t="s">
        <v>91</v>
      </c>
      <c r="G41" t="s">
        <v>376</v>
      </c>
    </row>
    <row r="42" spans="1:7" x14ac:dyDescent="0.25">
      <c r="A42" s="3">
        <v>76120077300015</v>
      </c>
      <c r="B42" t="s">
        <v>124</v>
      </c>
      <c r="C42" t="s">
        <v>375</v>
      </c>
      <c r="D42" s="35"/>
      <c r="E42" t="s">
        <v>57</v>
      </c>
      <c r="F42" t="s">
        <v>91</v>
      </c>
      <c r="G42" t="s">
        <v>376</v>
      </c>
    </row>
    <row r="43" spans="1:7" x14ac:dyDescent="0.25">
      <c r="A43" s="3">
        <v>43821718400045</v>
      </c>
      <c r="B43" t="s">
        <v>125</v>
      </c>
      <c r="C43" t="s">
        <v>375</v>
      </c>
      <c r="D43" s="35"/>
      <c r="E43" t="s">
        <v>57</v>
      </c>
      <c r="F43" t="s">
        <v>91</v>
      </c>
      <c r="G43" t="s">
        <v>376</v>
      </c>
    </row>
    <row r="44" spans="1:7" x14ac:dyDescent="0.25">
      <c r="A44" s="3">
        <v>40825713700047</v>
      </c>
      <c r="B44" t="s">
        <v>126</v>
      </c>
      <c r="C44" t="s">
        <v>375</v>
      </c>
      <c r="D44" s="35"/>
      <c r="E44" t="s">
        <v>57</v>
      </c>
      <c r="F44" t="s">
        <v>91</v>
      </c>
      <c r="G44" t="s">
        <v>376</v>
      </c>
    </row>
    <row r="45" spans="1:7" x14ac:dyDescent="0.25">
      <c r="A45" s="3">
        <v>44338869900037</v>
      </c>
      <c r="B45" t="s">
        <v>127</v>
      </c>
      <c r="C45" t="s">
        <v>375</v>
      </c>
      <c r="D45" s="35"/>
      <c r="E45" t="s">
        <v>57</v>
      </c>
      <c r="F45" t="s">
        <v>91</v>
      </c>
      <c r="G45" t="s">
        <v>376</v>
      </c>
    </row>
    <row r="46" spans="1:7" x14ac:dyDescent="0.25">
      <c r="A46" s="3">
        <v>31675497700023</v>
      </c>
      <c r="B46" t="s">
        <v>128</v>
      </c>
      <c r="C46" t="s">
        <v>375</v>
      </c>
      <c r="D46" s="35"/>
      <c r="E46" t="s">
        <v>57</v>
      </c>
      <c r="F46" t="s">
        <v>91</v>
      </c>
      <c r="G46" t="s">
        <v>376</v>
      </c>
    </row>
    <row r="47" spans="1:7" x14ac:dyDescent="0.25">
      <c r="A47" s="3">
        <v>42126398900020</v>
      </c>
      <c r="B47" t="s">
        <v>129</v>
      </c>
      <c r="C47" t="s">
        <v>375</v>
      </c>
      <c r="D47" s="35"/>
      <c r="E47" t="s">
        <v>57</v>
      </c>
      <c r="F47" t="s">
        <v>91</v>
      </c>
      <c r="G47" t="s">
        <v>376</v>
      </c>
    </row>
    <row r="48" spans="1:7" x14ac:dyDescent="0.25">
      <c r="A48" s="3">
        <v>35032902500042</v>
      </c>
      <c r="B48" t="s">
        <v>130</v>
      </c>
      <c r="C48" t="s">
        <v>375</v>
      </c>
      <c r="D48" s="35"/>
      <c r="E48" t="s">
        <v>57</v>
      </c>
      <c r="F48" t="s">
        <v>91</v>
      </c>
      <c r="G48" t="s">
        <v>376</v>
      </c>
    </row>
    <row r="49" spans="1:7" x14ac:dyDescent="0.25">
      <c r="A49" s="3">
        <v>38335951001284</v>
      </c>
      <c r="B49" t="s">
        <v>131</v>
      </c>
      <c r="C49" t="s">
        <v>375</v>
      </c>
      <c r="D49" s="35"/>
      <c r="E49" t="s">
        <v>57</v>
      </c>
      <c r="F49" t="s">
        <v>91</v>
      </c>
      <c r="G49" t="s">
        <v>376</v>
      </c>
    </row>
    <row r="50" spans="1:7" x14ac:dyDescent="0.25">
      <c r="A50" s="3">
        <v>35132272200064</v>
      </c>
      <c r="B50" t="s">
        <v>132</v>
      </c>
      <c r="C50" t="s">
        <v>375</v>
      </c>
      <c r="D50" s="35"/>
      <c r="E50" t="s">
        <v>57</v>
      </c>
      <c r="F50" t="s">
        <v>91</v>
      </c>
      <c r="G50" t="s">
        <v>376</v>
      </c>
    </row>
    <row r="51" spans="1:7" x14ac:dyDescent="0.25">
      <c r="A51" s="3">
        <v>35132272200064</v>
      </c>
      <c r="B51" t="s">
        <v>133</v>
      </c>
      <c r="C51" t="s">
        <v>375</v>
      </c>
      <c r="D51" s="35"/>
      <c r="E51" t="s">
        <v>57</v>
      </c>
      <c r="F51" t="s">
        <v>91</v>
      </c>
      <c r="G51" t="s">
        <v>376</v>
      </c>
    </row>
    <row r="52" spans="1:7" x14ac:dyDescent="0.25">
      <c r="A52" s="3">
        <v>38821746500045</v>
      </c>
      <c r="B52" t="s">
        <v>134</v>
      </c>
      <c r="C52" t="s">
        <v>375</v>
      </c>
      <c r="D52" s="35"/>
      <c r="E52" t="s">
        <v>58</v>
      </c>
      <c r="F52" t="s">
        <v>91</v>
      </c>
      <c r="G52" t="s">
        <v>376</v>
      </c>
    </row>
    <row r="53" spans="1:7" x14ac:dyDescent="0.25">
      <c r="A53" s="3">
        <v>30778703600051</v>
      </c>
      <c r="B53" t="s">
        <v>135</v>
      </c>
      <c r="C53" t="s">
        <v>375</v>
      </c>
      <c r="D53" s="35"/>
      <c r="E53" t="s">
        <v>58</v>
      </c>
      <c r="F53" t="s">
        <v>91</v>
      </c>
      <c r="G53" t="s">
        <v>376</v>
      </c>
    </row>
    <row r="54" spans="1:7" x14ac:dyDescent="0.25">
      <c r="A54" s="3">
        <v>44348571900050</v>
      </c>
      <c r="B54" t="s">
        <v>136</v>
      </c>
      <c r="C54" t="s">
        <v>375</v>
      </c>
      <c r="D54" s="35"/>
      <c r="E54" t="s">
        <v>58</v>
      </c>
      <c r="F54" t="s">
        <v>91</v>
      </c>
      <c r="G54" t="s">
        <v>376</v>
      </c>
    </row>
    <row r="55" spans="1:7" x14ac:dyDescent="0.25">
      <c r="A55" s="3">
        <v>79469851400039</v>
      </c>
      <c r="B55" t="s">
        <v>137</v>
      </c>
      <c r="C55" t="s">
        <v>375</v>
      </c>
      <c r="D55" s="35"/>
      <c r="E55" t="s">
        <v>58</v>
      </c>
      <c r="F55" t="s">
        <v>91</v>
      </c>
      <c r="G55" t="s">
        <v>376</v>
      </c>
    </row>
    <row r="56" spans="1:7" x14ac:dyDescent="0.25">
      <c r="A56" s="3">
        <v>49360407800045</v>
      </c>
      <c r="B56" t="s">
        <v>138</v>
      </c>
      <c r="C56" t="s">
        <v>375</v>
      </c>
      <c r="D56" s="35"/>
      <c r="E56" t="s">
        <v>58</v>
      </c>
      <c r="F56" t="s">
        <v>91</v>
      </c>
      <c r="G56" t="s">
        <v>376</v>
      </c>
    </row>
    <row r="57" spans="1:7" x14ac:dyDescent="0.25">
      <c r="A57" s="3">
        <v>49157149300023</v>
      </c>
      <c r="B57" t="s">
        <v>139</v>
      </c>
      <c r="C57" t="s">
        <v>375</v>
      </c>
      <c r="D57" s="35"/>
      <c r="E57" t="s">
        <v>58</v>
      </c>
      <c r="F57" t="s">
        <v>91</v>
      </c>
      <c r="G57" t="s">
        <v>376</v>
      </c>
    </row>
    <row r="58" spans="1:7" x14ac:dyDescent="0.25">
      <c r="A58" s="3">
        <v>49333463500106</v>
      </c>
      <c r="B58" t="s">
        <v>140</v>
      </c>
      <c r="C58" t="s">
        <v>375</v>
      </c>
      <c r="D58" s="35"/>
      <c r="E58" t="s">
        <v>58</v>
      </c>
      <c r="F58" t="s">
        <v>91</v>
      </c>
      <c r="G58" t="s">
        <v>376</v>
      </c>
    </row>
    <row r="59" spans="1:7" x14ac:dyDescent="0.25">
      <c r="A59" s="3">
        <v>38423665900072</v>
      </c>
      <c r="B59" t="s">
        <v>141</v>
      </c>
      <c r="C59" t="s">
        <v>375</v>
      </c>
      <c r="D59" s="35"/>
      <c r="E59" t="s">
        <v>58</v>
      </c>
      <c r="F59" t="s">
        <v>91</v>
      </c>
      <c r="G59" t="s">
        <v>376</v>
      </c>
    </row>
    <row r="60" spans="1:7" x14ac:dyDescent="0.25">
      <c r="A60" s="3">
        <v>45314873600029</v>
      </c>
      <c r="B60" t="s">
        <v>142</v>
      </c>
      <c r="C60" t="s">
        <v>375</v>
      </c>
      <c r="D60" s="35"/>
      <c r="E60" t="s">
        <v>58</v>
      </c>
      <c r="F60" t="s">
        <v>91</v>
      </c>
      <c r="G60" t="s">
        <v>376</v>
      </c>
    </row>
    <row r="61" spans="1:7" x14ac:dyDescent="0.25">
      <c r="A61" s="3">
        <v>37964940300035</v>
      </c>
      <c r="B61" t="s">
        <v>143</v>
      </c>
      <c r="C61" t="s">
        <v>375</v>
      </c>
      <c r="D61" s="35"/>
      <c r="E61" t="s">
        <v>58</v>
      </c>
      <c r="F61" t="s">
        <v>91</v>
      </c>
      <c r="G61" t="s">
        <v>376</v>
      </c>
    </row>
    <row r="62" spans="1:7" x14ac:dyDescent="0.25">
      <c r="A62" s="3">
        <v>41473452500028</v>
      </c>
      <c r="B62" t="s">
        <v>144</v>
      </c>
      <c r="C62" t="s">
        <v>375</v>
      </c>
      <c r="D62" s="35"/>
      <c r="E62" t="s">
        <v>58</v>
      </c>
      <c r="F62" t="s">
        <v>91</v>
      </c>
      <c r="G62" t="s">
        <v>376</v>
      </c>
    </row>
    <row r="63" spans="1:7" x14ac:dyDescent="0.25">
      <c r="A63" s="3">
        <v>95750394900035</v>
      </c>
      <c r="B63" t="s">
        <v>145</v>
      </c>
      <c r="C63" t="s">
        <v>375</v>
      </c>
      <c r="D63" s="35"/>
      <c r="E63" t="s">
        <v>58</v>
      </c>
      <c r="F63" t="s">
        <v>91</v>
      </c>
      <c r="G63" t="s">
        <v>376</v>
      </c>
    </row>
    <row r="64" spans="1:7" x14ac:dyDescent="0.25">
      <c r="A64" s="3">
        <v>38367918000026</v>
      </c>
      <c r="B64" t="s">
        <v>146</v>
      </c>
      <c r="C64" t="s">
        <v>375</v>
      </c>
      <c r="D64" s="35"/>
      <c r="E64" t="s">
        <v>58</v>
      </c>
      <c r="F64" t="s">
        <v>91</v>
      </c>
      <c r="G64" t="s">
        <v>376</v>
      </c>
    </row>
    <row r="65" spans="1:7" x14ac:dyDescent="0.25">
      <c r="A65" s="3">
        <v>50125792700043</v>
      </c>
      <c r="B65" t="s">
        <v>147</v>
      </c>
      <c r="C65" t="s">
        <v>375</v>
      </c>
      <c r="D65" s="35"/>
      <c r="E65" t="s">
        <v>58</v>
      </c>
      <c r="F65" t="s">
        <v>91</v>
      </c>
      <c r="G65" t="s">
        <v>376</v>
      </c>
    </row>
    <row r="66" spans="1:7" x14ac:dyDescent="0.25">
      <c r="A66" s="3">
        <v>50947827700064</v>
      </c>
      <c r="B66" t="s">
        <v>148</v>
      </c>
      <c r="C66" t="s">
        <v>375</v>
      </c>
      <c r="D66" s="35"/>
      <c r="E66" t="s">
        <v>60</v>
      </c>
      <c r="F66" t="s">
        <v>91</v>
      </c>
      <c r="G66" t="s">
        <v>376</v>
      </c>
    </row>
    <row r="67" spans="1:7" x14ac:dyDescent="0.25">
      <c r="A67" s="3">
        <v>95680282100036</v>
      </c>
      <c r="B67" t="s">
        <v>149</v>
      </c>
      <c r="C67" t="s">
        <v>375</v>
      </c>
      <c r="D67" s="35"/>
      <c r="E67" t="s">
        <v>60</v>
      </c>
      <c r="F67" t="s">
        <v>91</v>
      </c>
      <c r="G67" t="s">
        <v>376</v>
      </c>
    </row>
    <row r="68" spans="1:7" x14ac:dyDescent="0.25">
      <c r="A68" s="3">
        <v>91020324900016</v>
      </c>
      <c r="B68" t="s">
        <v>150</v>
      </c>
      <c r="C68" t="s">
        <v>375</v>
      </c>
      <c r="D68" s="35"/>
      <c r="E68" t="s">
        <v>60</v>
      </c>
      <c r="F68" t="s">
        <v>91</v>
      </c>
      <c r="G68" t="s">
        <v>376</v>
      </c>
    </row>
    <row r="69" spans="1:7" x14ac:dyDescent="0.25">
      <c r="A69" s="3">
        <v>38335951001367</v>
      </c>
      <c r="B69" t="s">
        <v>151</v>
      </c>
      <c r="C69" t="s">
        <v>375</v>
      </c>
      <c r="D69" s="35"/>
      <c r="E69" t="s">
        <v>60</v>
      </c>
      <c r="F69" t="s">
        <v>91</v>
      </c>
      <c r="G69" t="s">
        <v>376</v>
      </c>
    </row>
    <row r="70" spans="1:7" x14ac:dyDescent="0.25">
      <c r="A70" s="3">
        <v>32913278100033</v>
      </c>
      <c r="B70" t="s">
        <v>152</v>
      </c>
      <c r="C70" t="s">
        <v>375</v>
      </c>
      <c r="D70" s="35"/>
      <c r="E70" t="s">
        <v>60</v>
      </c>
      <c r="F70" t="s">
        <v>91</v>
      </c>
      <c r="G70" t="s">
        <v>376</v>
      </c>
    </row>
    <row r="71" spans="1:7" x14ac:dyDescent="0.25">
      <c r="A71" s="3">
        <v>80161144300012</v>
      </c>
      <c r="B71" t="s">
        <v>153</v>
      </c>
      <c r="C71" t="s">
        <v>375</v>
      </c>
      <c r="D71" s="35"/>
      <c r="E71" t="s">
        <v>60</v>
      </c>
      <c r="F71" t="s">
        <v>91</v>
      </c>
      <c r="G71" t="s">
        <v>376</v>
      </c>
    </row>
    <row r="72" spans="1:7" x14ac:dyDescent="0.25">
      <c r="A72" s="3">
        <v>0</v>
      </c>
      <c r="B72" t="s">
        <v>154</v>
      </c>
      <c r="C72" t="s">
        <v>375</v>
      </c>
      <c r="D72" s="35"/>
      <c r="E72" t="s">
        <v>60</v>
      </c>
      <c r="F72" t="s">
        <v>91</v>
      </c>
      <c r="G72" t="s">
        <v>376</v>
      </c>
    </row>
    <row r="73" spans="1:7" x14ac:dyDescent="0.25">
      <c r="A73" s="3">
        <v>34265658400014</v>
      </c>
      <c r="B73" t="s">
        <v>155</v>
      </c>
      <c r="C73" t="s">
        <v>375</v>
      </c>
      <c r="D73" s="35"/>
      <c r="E73" t="s">
        <v>60</v>
      </c>
      <c r="F73" t="s">
        <v>91</v>
      </c>
      <c r="G73" t="s">
        <v>376</v>
      </c>
    </row>
    <row r="74" spans="1:7" x14ac:dyDescent="0.25">
      <c r="A74" s="3">
        <v>38179818000042</v>
      </c>
      <c r="B74" t="s">
        <v>156</v>
      </c>
      <c r="C74" t="s">
        <v>375</v>
      </c>
      <c r="D74" s="35"/>
      <c r="E74" t="s">
        <v>60</v>
      </c>
      <c r="F74" t="s">
        <v>91</v>
      </c>
      <c r="G74" t="s">
        <v>376</v>
      </c>
    </row>
    <row r="75" spans="1:7" x14ac:dyDescent="0.25">
      <c r="A75" s="3">
        <v>80938416700064</v>
      </c>
      <c r="B75" t="s">
        <v>157</v>
      </c>
      <c r="C75" t="s">
        <v>375</v>
      </c>
      <c r="D75" s="35"/>
      <c r="E75" t="s">
        <v>60</v>
      </c>
      <c r="F75" t="s">
        <v>91</v>
      </c>
      <c r="G75" t="s">
        <v>376</v>
      </c>
    </row>
    <row r="76" spans="1:7" x14ac:dyDescent="0.25">
      <c r="A76" s="3">
        <v>33009739500025</v>
      </c>
      <c r="B76" t="s">
        <v>158</v>
      </c>
      <c r="C76" t="s">
        <v>375</v>
      </c>
      <c r="D76" s="35"/>
      <c r="E76" t="s">
        <v>60</v>
      </c>
      <c r="F76" t="s">
        <v>91</v>
      </c>
      <c r="G76" t="s">
        <v>376</v>
      </c>
    </row>
    <row r="77" spans="1:7" x14ac:dyDescent="0.25">
      <c r="A77" s="3">
        <v>33009739500025</v>
      </c>
      <c r="B77" t="s">
        <v>159</v>
      </c>
      <c r="C77" t="s">
        <v>375</v>
      </c>
      <c r="D77" s="35"/>
      <c r="E77" t="s">
        <v>60</v>
      </c>
      <c r="F77" t="s">
        <v>91</v>
      </c>
      <c r="G77" t="s">
        <v>376</v>
      </c>
    </row>
    <row r="78" spans="1:7" x14ac:dyDescent="0.25">
      <c r="A78" s="3">
        <v>33009739500025</v>
      </c>
      <c r="B78" t="s">
        <v>160</v>
      </c>
      <c r="C78" t="s">
        <v>375</v>
      </c>
      <c r="D78" s="35"/>
      <c r="E78" t="s">
        <v>60</v>
      </c>
      <c r="F78" t="s">
        <v>91</v>
      </c>
      <c r="G78" t="s">
        <v>376</v>
      </c>
    </row>
    <row r="79" spans="1:7" x14ac:dyDescent="0.25">
      <c r="A79" s="3">
        <v>40229488800027</v>
      </c>
      <c r="B79" t="s">
        <v>161</v>
      </c>
      <c r="C79" t="s">
        <v>375</v>
      </c>
      <c r="D79" s="35"/>
      <c r="E79" t="s">
        <v>60</v>
      </c>
      <c r="F79" t="s">
        <v>91</v>
      </c>
      <c r="G79" t="s">
        <v>376</v>
      </c>
    </row>
    <row r="80" spans="1:7" x14ac:dyDescent="0.25">
      <c r="A80" s="3">
        <v>30738996500038</v>
      </c>
      <c r="B80" t="s">
        <v>162</v>
      </c>
      <c r="C80" t="s">
        <v>375</v>
      </c>
      <c r="D80" s="35"/>
      <c r="E80" t="s">
        <v>60</v>
      </c>
      <c r="F80" t="s">
        <v>91</v>
      </c>
      <c r="G80" t="s">
        <v>376</v>
      </c>
    </row>
    <row r="81" spans="1:7" x14ac:dyDescent="0.25">
      <c r="A81" s="3">
        <v>48118401800044</v>
      </c>
      <c r="B81" t="s">
        <v>163</v>
      </c>
      <c r="C81" t="s">
        <v>375</v>
      </c>
      <c r="D81" s="35"/>
      <c r="E81" t="s">
        <v>62</v>
      </c>
      <c r="F81" t="s">
        <v>91</v>
      </c>
      <c r="G81" t="s">
        <v>376</v>
      </c>
    </row>
    <row r="82" spans="1:7" x14ac:dyDescent="0.25">
      <c r="A82" s="3">
        <v>42999261300050</v>
      </c>
      <c r="B82" t="s">
        <v>164</v>
      </c>
      <c r="C82" t="s">
        <v>375</v>
      </c>
      <c r="D82" s="35"/>
      <c r="E82" t="s">
        <v>62</v>
      </c>
      <c r="F82" t="s">
        <v>91</v>
      </c>
      <c r="G82" t="s">
        <v>376</v>
      </c>
    </row>
    <row r="83" spans="1:7" x14ac:dyDescent="0.25">
      <c r="A83" s="3">
        <v>94305988100012</v>
      </c>
      <c r="B83" t="s">
        <v>165</v>
      </c>
      <c r="C83" t="s">
        <v>375</v>
      </c>
      <c r="D83" s="35"/>
      <c r="E83" t="s">
        <v>62</v>
      </c>
      <c r="F83" t="s">
        <v>91</v>
      </c>
      <c r="G83" t="s">
        <v>376</v>
      </c>
    </row>
    <row r="84" spans="1:7" x14ac:dyDescent="0.25">
      <c r="A84" s="3">
        <v>37879953000050</v>
      </c>
      <c r="B84" t="s">
        <v>166</v>
      </c>
      <c r="C84" t="s">
        <v>375</v>
      </c>
      <c r="D84" s="35"/>
      <c r="E84" t="s">
        <v>62</v>
      </c>
      <c r="F84" t="s">
        <v>91</v>
      </c>
      <c r="G84" t="s">
        <v>376</v>
      </c>
    </row>
    <row r="85" spans="1:7" x14ac:dyDescent="0.25">
      <c r="A85" s="3">
        <v>34014010200039</v>
      </c>
      <c r="B85" t="s">
        <v>167</v>
      </c>
      <c r="C85" t="s">
        <v>375</v>
      </c>
      <c r="D85" s="35"/>
      <c r="E85" t="s">
        <v>62</v>
      </c>
      <c r="F85" t="s">
        <v>91</v>
      </c>
      <c r="G85" t="s">
        <v>376</v>
      </c>
    </row>
    <row r="86" spans="1:7" x14ac:dyDescent="0.25">
      <c r="A86" s="3">
        <v>86050038800092</v>
      </c>
      <c r="B86" t="s">
        <v>168</v>
      </c>
      <c r="C86" t="s">
        <v>375</v>
      </c>
      <c r="D86" s="35"/>
      <c r="E86" t="s">
        <v>62</v>
      </c>
      <c r="F86" t="s">
        <v>91</v>
      </c>
      <c r="G86" t="s">
        <v>376</v>
      </c>
    </row>
    <row r="87" spans="1:7" x14ac:dyDescent="0.25">
      <c r="A87" s="3">
        <v>39936902400092</v>
      </c>
      <c r="B87" t="s">
        <v>169</v>
      </c>
      <c r="C87" t="s">
        <v>375</v>
      </c>
      <c r="D87" s="35"/>
      <c r="E87" t="s">
        <v>62</v>
      </c>
      <c r="F87" t="s">
        <v>91</v>
      </c>
      <c r="G87" t="s">
        <v>376</v>
      </c>
    </row>
    <row r="88" spans="1:7" x14ac:dyDescent="0.25">
      <c r="A88" s="3">
        <v>39838211900020</v>
      </c>
      <c r="B88" t="s">
        <v>170</v>
      </c>
      <c r="C88" t="s">
        <v>375</v>
      </c>
      <c r="D88" s="35"/>
      <c r="E88" t="s">
        <v>62</v>
      </c>
      <c r="F88" t="s">
        <v>91</v>
      </c>
      <c r="G88" t="s">
        <v>376</v>
      </c>
    </row>
    <row r="89" spans="1:7" x14ac:dyDescent="0.25">
      <c r="A89" s="3">
        <v>38294005400069</v>
      </c>
      <c r="B89" t="s">
        <v>171</v>
      </c>
      <c r="C89" t="s">
        <v>375</v>
      </c>
      <c r="D89" s="35"/>
      <c r="E89" t="s">
        <v>62</v>
      </c>
      <c r="F89" t="s">
        <v>91</v>
      </c>
      <c r="G89" t="s">
        <v>376</v>
      </c>
    </row>
    <row r="90" spans="1:7" x14ac:dyDescent="0.25">
      <c r="A90" s="3">
        <v>33478205900177</v>
      </c>
      <c r="B90" t="s">
        <v>172</v>
      </c>
      <c r="C90" t="s">
        <v>375</v>
      </c>
      <c r="D90" s="35"/>
      <c r="E90" t="s">
        <v>62</v>
      </c>
      <c r="F90" t="s">
        <v>91</v>
      </c>
      <c r="G90" t="s">
        <v>376</v>
      </c>
    </row>
    <row r="91" spans="1:7" x14ac:dyDescent="0.25">
      <c r="A91" s="3">
        <v>35188747600031</v>
      </c>
      <c r="B91" t="s">
        <v>173</v>
      </c>
      <c r="C91" t="s">
        <v>375</v>
      </c>
      <c r="D91" s="35"/>
      <c r="E91" t="s">
        <v>62</v>
      </c>
      <c r="F91" t="s">
        <v>91</v>
      </c>
      <c r="G91" t="s">
        <v>376</v>
      </c>
    </row>
    <row r="92" spans="1:7" x14ac:dyDescent="0.25">
      <c r="A92" s="3">
        <v>35244123200068</v>
      </c>
      <c r="B92" t="s">
        <v>174</v>
      </c>
      <c r="C92" t="s">
        <v>375</v>
      </c>
      <c r="D92" s="35"/>
      <c r="E92" t="s">
        <v>62</v>
      </c>
      <c r="F92" t="s">
        <v>91</v>
      </c>
      <c r="G92" t="s">
        <v>376</v>
      </c>
    </row>
    <row r="93" spans="1:7" x14ac:dyDescent="0.25">
      <c r="A93" s="3">
        <v>38178971800065</v>
      </c>
      <c r="B93" t="s">
        <v>175</v>
      </c>
      <c r="C93" t="s">
        <v>375</v>
      </c>
      <c r="D93" s="35"/>
      <c r="E93" t="s">
        <v>62</v>
      </c>
      <c r="F93" t="s">
        <v>91</v>
      </c>
      <c r="G93" t="s">
        <v>376</v>
      </c>
    </row>
    <row r="94" spans="1:7" x14ac:dyDescent="0.25">
      <c r="A94" s="3">
        <v>37805349000058</v>
      </c>
      <c r="B94" t="s">
        <v>176</v>
      </c>
      <c r="C94" t="s">
        <v>375</v>
      </c>
      <c r="D94" s="35"/>
      <c r="E94" t="s">
        <v>62</v>
      </c>
      <c r="F94" t="s">
        <v>91</v>
      </c>
      <c r="G94" t="s">
        <v>376</v>
      </c>
    </row>
    <row r="95" spans="1:7" x14ac:dyDescent="0.25">
      <c r="A95" s="3">
        <v>42492579000083</v>
      </c>
      <c r="B95" t="s">
        <v>177</v>
      </c>
      <c r="C95" t="s">
        <v>375</v>
      </c>
      <c r="D95" s="35"/>
      <c r="E95" t="s">
        <v>62</v>
      </c>
      <c r="F95" t="s">
        <v>91</v>
      </c>
      <c r="G95" t="s">
        <v>376</v>
      </c>
    </row>
    <row r="96" spans="1:7" x14ac:dyDescent="0.25">
      <c r="A96" s="3">
        <v>42492579000083</v>
      </c>
      <c r="B96" t="s">
        <v>178</v>
      </c>
      <c r="C96" t="s">
        <v>375</v>
      </c>
      <c r="D96" s="35"/>
      <c r="E96" t="s">
        <v>64</v>
      </c>
      <c r="F96" t="s">
        <v>91</v>
      </c>
      <c r="G96" t="s">
        <v>376</v>
      </c>
    </row>
    <row r="97" spans="1:7" x14ac:dyDescent="0.25">
      <c r="A97" s="3">
        <v>42343997500016</v>
      </c>
      <c r="B97" t="s">
        <v>179</v>
      </c>
      <c r="C97" t="s">
        <v>375</v>
      </c>
      <c r="D97" s="35"/>
      <c r="E97" t="s">
        <v>64</v>
      </c>
      <c r="F97" t="s">
        <v>91</v>
      </c>
      <c r="G97" t="s">
        <v>376</v>
      </c>
    </row>
    <row r="98" spans="1:7" x14ac:dyDescent="0.25">
      <c r="A98" s="3">
        <v>31214052800018</v>
      </c>
      <c r="B98" t="s">
        <v>180</v>
      </c>
      <c r="C98" t="s">
        <v>375</v>
      </c>
      <c r="D98" s="35"/>
      <c r="E98" t="s">
        <v>64</v>
      </c>
      <c r="F98" t="s">
        <v>91</v>
      </c>
      <c r="G98" t="s">
        <v>376</v>
      </c>
    </row>
    <row r="99" spans="1:7" x14ac:dyDescent="0.25">
      <c r="A99" s="3">
        <v>45046145400016</v>
      </c>
      <c r="B99" t="s">
        <v>181</v>
      </c>
      <c r="C99" t="s">
        <v>375</v>
      </c>
      <c r="D99" s="35"/>
      <c r="E99" t="s">
        <v>64</v>
      </c>
      <c r="F99" t="s">
        <v>91</v>
      </c>
      <c r="G99" t="s">
        <v>376</v>
      </c>
    </row>
    <row r="100" spans="1:7" x14ac:dyDescent="0.25">
      <c r="A100" s="3">
        <v>33533889300050</v>
      </c>
      <c r="B100" t="s">
        <v>182</v>
      </c>
      <c r="C100" t="s">
        <v>375</v>
      </c>
      <c r="D100" s="35"/>
      <c r="E100" t="s">
        <v>64</v>
      </c>
      <c r="F100" t="s">
        <v>91</v>
      </c>
      <c r="G100" t="s">
        <v>376</v>
      </c>
    </row>
    <row r="101" spans="1:7" x14ac:dyDescent="0.25">
      <c r="A101" s="3">
        <v>42101373100052</v>
      </c>
      <c r="B101" t="s">
        <v>183</v>
      </c>
      <c r="C101" t="s">
        <v>375</v>
      </c>
      <c r="D101" s="35"/>
      <c r="E101" t="s">
        <v>64</v>
      </c>
      <c r="F101" t="s">
        <v>91</v>
      </c>
      <c r="G101" t="s">
        <v>376</v>
      </c>
    </row>
    <row r="102" spans="1:7" x14ac:dyDescent="0.25">
      <c r="A102" s="3">
        <v>41455649800056</v>
      </c>
      <c r="B102" t="s">
        <v>184</v>
      </c>
      <c r="C102" t="s">
        <v>375</v>
      </c>
      <c r="D102" s="35"/>
      <c r="E102" t="s">
        <v>64</v>
      </c>
      <c r="F102" t="s">
        <v>91</v>
      </c>
      <c r="G102" t="s">
        <v>376</v>
      </c>
    </row>
    <row r="103" spans="1:7" x14ac:dyDescent="0.25">
      <c r="A103" s="3">
        <v>52792826100041</v>
      </c>
      <c r="B103" t="s">
        <v>185</v>
      </c>
      <c r="C103" t="s">
        <v>375</v>
      </c>
      <c r="D103" s="35"/>
      <c r="E103" t="s">
        <v>64</v>
      </c>
      <c r="F103" t="s">
        <v>91</v>
      </c>
      <c r="G103" t="s">
        <v>376</v>
      </c>
    </row>
    <row r="104" spans="1:7" x14ac:dyDescent="0.25">
      <c r="A104" s="3">
        <v>45160142100063</v>
      </c>
      <c r="B104" t="s">
        <v>186</v>
      </c>
      <c r="C104" t="s">
        <v>375</v>
      </c>
      <c r="D104" s="35"/>
      <c r="E104" t="s">
        <v>64</v>
      </c>
      <c r="F104" t="s">
        <v>91</v>
      </c>
      <c r="G104" t="s">
        <v>376</v>
      </c>
    </row>
    <row r="105" spans="1:7" x14ac:dyDescent="0.25">
      <c r="A105" s="3">
        <v>61203967700077</v>
      </c>
      <c r="B105" t="s">
        <v>187</v>
      </c>
      <c r="C105" t="s">
        <v>375</v>
      </c>
      <c r="D105" s="35"/>
      <c r="E105" t="s">
        <v>64</v>
      </c>
      <c r="F105" t="s">
        <v>91</v>
      </c>
      <c r="G105" t="s">
        <v>376</v>
      </c>
    </row>
    <row r="106" spans="1:7" x14ac:dyDescent="0.25">
      <c r="A106" s="3">
        <v>61203967700077</v>
      </c>
      <c r="B106" t="s">
        <v>188</v>
      </c>
      <c r="C106" t="s">
        <v>375</v>
      </c>
      <c r="D106" s="35"/>
      <c r="E106" t="s">
        <v>64</v>
      </c>
      <c r="F106" t="s">
        <v>91</v>
      </c>
      <c r="G106" t="s">
        <v>376</v>
      </c>
    </row>
    <row r="107" spans="1:7" x14ac:dyDescent="0.25">
      <c r="A107" s="3">
        <v>80857462800042</v>
      </c>
      <c r="B107" t="s">
        <v>189</v>
      </c>
      <c r="C107" t="s">
        <v>375</v>
      </c>
      <c r="D107" s="35"/>
      <c r="E107" t="s">
        <v>64</v>
      </c>
      <c r="F107" t="s">
        <v>91</v>
      </c>
      <c r="G107" t="s">
        <v>376</v>
      </c>
    </row>
    <row r="108" spans="1:7" x14ac:dyDescent="0.25">
      <c r="A108" s="3">
        <v>80857462800042</v>
      </c>
      <c r="B108" t="s">
        <v>190</v>
      </c>
      <c r="C108" t="s">
        <v>375</v>
      </c>
      <c r="D108" s="35"/>
      <c r="E108" t="s">
        <v>64</v>
      </c>
      <c r="F108" t="s">
        <v>91</v>
      </c>
      <c r="G108" t="s">
        <v>376</v>
      </c>
    </row>
    <row r="109" spans="1:7" x14ac:dyDescent="0.25">
      <c r="A109" s="3">
        <v>80857462800042</v>
      </c>
      <c r="B109" t="s">
        <v>191</v>
      </c>
      <c r="C109" t="s">
        <v>375</v>
      </c>
      <c r="D109" s="35"/>
      <c r="E109" t="s">
        <v>64</v>
      </c>
      <c r="F109" t="s">
        <v>91</v>
      </c>
      <c r="G109" t="s">
        <v>376</v>
      </c>
    </row>
    <row r="110" spans="1:7" x14ac:dyDescent="0.25">
      <c r="A110" s="3">
        <v>0</v>
      </c>
      <c r="B110" t="s">
        <v>192</v>
      </c>
      <c r="C110" t="s">
        <v>375</v>
      </c>
      <c r="D110" s="35"/>
      <c r="E110" t="s">
        <v>64</v>
      </c>
      <c r="F110" t="s">
        <v>91</v>
      </c>
      <c r="G110" t="s">
        <v>376</v>
      </c>
    </row>
    <row r="111" spans="1:7" x14ac:dyDescent="0.25">
      <c r="A111" s="3">
        <v>80857462800026</v>
      </c>
      <c r="B111" t="s">
        <v>193</v>
      </c>
      <c r="C111" t="s">
        <v>375</v>
      </c>
      <c r="D111" s="35"/>
      <c r="E111" t="s">
        <v>64</v>
      </c>
      <c r="F111" t="s">
        <v>91</v>
      </c>
      <c r="G111" t="s">
        <v>376</v>
      </c>
    </row>
    <row r="112" spans="1:7" x14ac:dyDescent="0.25">
      <c r="A112" s="3">
        <v>42330516800100</v>
      </c>
      <c r="B112" t="s">
        <v>194</v>
      </c>
      <c r="C112" t="s">
        <v>375</v>
      </c>
      <c r="D112" s="35"/>
      <c r="E112" t="s">
        <v>63</v>
      </c>
      <c r="F112" t="s">
        <v>91</v>
      </c>
      <c r="G112" t="s">
        <v>376</v>
      </c>
    </row>
    <row r="113" spans="1:7" x14ac:dyDescent="0.25">
      <c r="A113" s="3">
        <v>40993621800059</v>
      </c>
      <c r="B113" t="s">
        <v>195</v>
      </c>
      <c r="C113" t="s">
        <v>375</v>
      </c>
      <c r="D113" s="35"/>
      <c r="E113" t="s">
        <v>63</v>
      </c>
      <c r="F113" t="s">
        <v>91</v>
      </c>
      <c r="G113" t="s">
        <v>376</v>
      </c>
    </row>
    <row r="114" spans="1:7" x14ac:dyDescent="0.25">
      <c r="A114" s="3">
        <v>40866344100082</v>
      </c>
      <c r="B114" t="s">
        <v>196</v>
      </c>
      <c r="C114" t="s">
        <v>375</v>
      </c>
      <c r="D114" s="35"/>
      <c r="E114" t="s">
        <v>63</v>
      </c>
      <c r="F114" t="s">
        <v>91</v>
      </c>
      <c r="G114" t="s">
        <v>376</v>
      </c>
    </row>
    <row r="115" spans="1:7" x14ac:dyDescent="0.25">
      <c r="A115" s="3">
        <v>80857462800042</v>
      </c>
      <c r="B115" t="s">
        <v>197</v>
      </c>
      <c r="C115" t="s">
        <v>375</v>
      </c>
      <c r="D115" s="35"/>
      <c r="E115" t="s">
        <v>63</v>
      </c>
      <c r="F115" t="s">
        <v>91</v>
      </c>
      <c r="G115" t="s">
        <v>376</v>
      </c>
    </row>
    <row r="116" spans="1:7" x14ac:dyDescent="0.25">
      <c r="A116" s="3">
        <v>80857462800034</v>
      </c>
      <c r="B116" t="s">
        <v>198</v>
      </c>
      <c r="C116" t="s">
        <v>375</v>
      </c>
      <c r="D116" s="35"/>
      <c r="E116" t="s">
        <v>63</v>
      </c>
      <c r="F116" t="s">
        <v>91</v>
      </c>
      <c r="G116" t="s">
        <v>376</v>
      </c>
    </row>
    <row r="117" spans="1:7" x14ac:dyDescent="0.25">
      <c r="A117" s="3">
        <v>0</v>
      </c>
      <c r="B117" t="s">
        <v>199</v>
      </c>
      <c r="C117" t="s">
        <v>375</v>
      </c>
      <c r="D117" s="35"/>
      <c r="E117" t="s">
        <v>63</v>
      </c>
      <c r="F117" t="s">
        <v>91</v>
      </c>
      <c r="G117" t="s">
        <v>376</v>
      </c>
    </row>
    <row r="118" spans="1:7" x14ac:dyDescent="0.25">
      <c r="A118" s="3">
        <v>31501335900155</v>
      </c>
      <c r="B118" t="s">
        <v>200</v>
      </c>
      <c r="C118" t="s">
        <v>375</v>
      </c>
      <c r="D118" s="35"/>
      <c r="E118" t="s">
        <v>63</v>
      </c>
      <c r="F118" t="s">
        <v>91</v>
      </c>
      <c r="G118" t="s">
        <v>376</v>
      </c>
    </row>
    <row r="119" spans="1:7" x14ac:dyDescent="0.25">
      <c r="A119" s="3">
        <v>80857462800042</v>
      </c>
      <c r="B119" t="s">
        <v>201</v>
      </c>
      <c r="C119" t="s">
        <v>375</v>
      </c>
      <c r="D119" s="35"/>
      <c r="E119" t="s">
        <v>63</v>
      </c>
      <c r="F119" t="s">
        <v>91</v>
      </c>
      <c r="G119" t="s">
        <v>376</v>
      </c>
    </row>
    <row r="120" spans="1:7" x14ac:dyDescent="0.25">
      <c r="A120" s="3">
        <v>80857462800042</v>
      </c>
      <c r="B120" t="s">
        <v>202</v>
      </c>
      <c r="C120" t="s">
        <v>375</v>
      </c>
      <c r="D120" s="35"/>
      <c r="E120" t="s">
        <v>63</v>
      </c>
      <c r="F120" t="s">
        <v>91</v>
      </c>
      <c r="G120" t="s">
        <v>376</v>
      </c>
    </row>
    <row r="121" spans="1:7" x14ac:dyDescent="0.25">
      <c r="A121" s="3">
        <v>80857462800042</v>
      </c>
      <c r="B121" t="s">
        <v>203</v>
      </c>
      <c r="C121" t="s">
        <v>375</v>
      </c>
      <c r="D121" s="35"/>
      <c r="E121" t="s">
        <v>63</v>
      </c>
      <c r="F121" t="s">
        <v>91</v>
      </c>
      <c r="G121" t="s">
        <v>376</v>
      </c>
    </row>
    <row r="122" spans="1:7" x14ac:dyDescent="0.25">
      <c r="A122" s="3">
        <v>80857462800042</v>
      </c>
      <c r="B122" t="s">
        <v>204</v>
      </c>
      <c r="C122" t="s">
        <v>375</v>
      </c>
      <c r="D122" s="35"/>
      <c r="E122" t="s">
        <v>63</v>
      </c>
      <c r="F122" t="s">
        <v>91</v>
      </c>
      <c r="G122" t="s">
        <v>376</v>
      </c>
    </row>
    <row r="123" spans="1:7" x14ac:dyDescent="0.25">
      <c r="A123" s="3">
        <v>80857462800442</v>
      </c>
      <c r="B123" t="s">
        <v>205</v>
      </c>
      <c r="C123" t="s">
        <v>375</v>
      </c>
      <c r="D123" s="35"/>
      <c r="E123" t="s">
        <v>63</v>
      </c>
      <c r="F123" t="s">
        <v>91</v>
      </c>
      <c r="G123" t="s">
        <v>376</v>
      </c>
    </row>
    <row r="124" spans="1:7" x14ac:dyDescent="0.25">
      <c r="A124" s="3">
        <v>80857462800342</v>
      </c>
      <c r="B124" t="s">
        <v>206</v>
      </c>
      <c r="C124" t="s">
        <v>375</v>
      </c>
      <c r="D124" s="35"/>
      <c r="E124" t="s">
        <v>63</v>
      </c>
      <c r="F124" t="s">
        <v>91</v>
      </c>
      <c r="G124" t="s">
        <v>376</v>
      </c>
    </row>
    <row r="125" spans="1:7" x14ac:dyDescent="0.25">
      <c r="A125" s="3">
        <v>79899264000044</v>
      </c>
      <c r="B125" t="s">
        <v>37</v>
      </c>
      <c r="C125" t="s">
        <v>33</v>
      </c>
      <c r="D125" s="35">
        <v>46241</v>
      </c>
      <c r="E125" t="s">
        <v>56</v>
      </c>
      <c r="F125" t="s">
        <v>65</v>
      </c>
      <c r="G125" t="s">
        <v>31</v>
      </c>
    </row>
    <row r="126" spans="1:7" x14ac:dyDescent="0.25">
      <c r="A126" s="3">
        <v>40266888300026</v>
      </c>
      <c r="B126" t="s">
        <v>38</v>
      </c>
      <c r="C126" t="s">
        <v>33</v>
      </c>
      <c r="D126" s="35">
        <v>46241</v>
      </c>
      <c r="E126" t="s">
        <v>56</v>
      </c>
      <c r="F126" t="s">
        <v>65</v>
      </c>
      <c r="G126" t="s">
        <v>31</v>
      </c>
    </row>
    <row r="127" spans="1:7" x14ac:dyDescent="0.25">
      <c r="A127" s="3">
        <v>38811449800032</v>
      </c>
      <c r="B127" t="s">
        <v>39</v>
      </c>
      <c r="C127" t="s">
        <v>33</v>
      </c>
      <c r="D127" s="35">
        <v>46241</v>
      </c>
      <c r="E127" t="s">
        <v>56</v>
      </c>
      <c r="F127" t="s">
        <v>65</v>
      </c>
      <c r="G127" t="s">
        <v>31</v>
      </c>
    </row>
    <row r="128" spans="1:7" x14ac:dyDescent="0.25">
      <c r="A128" s="3">
        <v>82082438100025</v>
      </c>
      <c r="B128" t="s">
        <v>40</v>
      </c>
      <c r="C128" t="s">
        <v>33</v>
      </c>
      <c r="D128" s="35">
        <v>46241</v>
      </c>
      <c r="E128" t="s">
        <v>56</v>
      </c>
      <c r="F128" t="s">
        <v>65</v>
      </c>
      <c r="G128" t="s">
        <v>31</v>
      </c>
    </row>
    <row r="129" spans="1:7" x14ac:dyDescent="0.25">
      <c r="A129" s="3">
        <v>52963533600033</v>
      </c>
      <c r="B129" t="s">
        <v>41</v>
      </c>
      <c r="C129" t="s">
        <v>33</v>
      </c>
      <c r="D129" s="35">
        <v>46241</v>
      </c>
      <c r="E129" t="s">
        <v>56</v>
      </c>
      <c r="F129" t="s">
        <v>65</v>
      </c>
      <c r="G129" t="s">
        <v>31</v>
      </c>
    </row>
    <row r="130" spans="1:7" x14ac:dyDescent="0.25">
      <c r="A130" s="3">
        <v>82948031800023</v>
      </c>
      <c r="B130" t="s">
        <v>42</v>
      </c>
      <c r="C130" t="s">
        <v>33</v>
      </c>
      <c r="D130" s="35">
        <v>46241</v>
      </c>
      <c r="E130" t="s">
        <v>56</v>
      </c>
      <c r="F130" t="s">
        <v>65</v>
      </c>
      <c r="G130" t="s">
        <v>31</v>
      </c>
    </row>
    <row r="131" spans="1:7" x14ac:dyDescent="0.25">
      <c r="A131" s="3">
        <v>32909522800063</v>
      </c>
      <c r="B131" t="s">
        <v>43</v>
      </c>
      <c r="C131" t="s">
        <v>33</v>
      </c>
      <c r="D131" s="35">
        <v>46241</v>
      </c>
      <c r="E131" t="s">
        <v>384</v>
      </c>
      <c r="F131" t="s">
        <v>65</v>
      </c>
      <c r="G131" t="s">
        <v>31</v>
      </c>
    </row>
    <row r="132" spans="1:7" x14ac:dyDescent="0.25">
      <c r="A132" s="3">
        <v>80226024000022</v>
      </c>
      <c r="B132" t="s">
        <v>44</v>
      </c>
      <c r="C132" t="s">
        <v>33</v>
      </c>
      <c r="D132" s="35">
        <v>46241</v>
      </c>
      <c r="E132" t="s">
        <v>384</v>
      </c>
      <c r="F132" t="s">
        <v>65</v>
      </c>
      <c r="G132" t="s">
        <v>31</v>
      </c>
    </row>
    <row r="133" spans="1:7" x14ac:dyDescent="0.25">
      <c r="A133" s="3">
        <v>38993529700033</v>
      </c>
      <c r="B133" t="s">
        <v>45</v>
      </c>
      <c r="C133" t="s">
        <v>33</v>
      </c>
      <c r="D133" s="35">
        <v>46241</v>
      </c>
      <c r="E133" t="s">
        <v>384</v>
      </c>
      <c r="F133" t="s">
        <v>65</v>
      </c>
      <c r="G133" t="s">
        <v>31</v>
      </c>
    </row>
    <row r="134" spans="1:7" x14ac:dyDescent="0.25">
      <c r="A134" s="3">
        <v>78992005500017</v>
      </c>
      <c r="B134" t="s">
        <v>46</v>
      </c>
      <c r="C134" t="s">
        <v>33</v>
      </c>
      <c r="D134" s="35">
        <v>46241</v>
      </c>
      <c r="E134" t="s">
        <v>384</v>
      </c>
      <c r="F134" t="s">
        <v>65</v>
      </c>
      <c r="G134" t="s">
        <v>31</v>
      </c>
    </row>
    <row r="135" spans="1:7" x14ac:dyDescent="0.25">
      <c r="A135" s="3">
        <v>89216717200014</v>
      </c>
      <c r="B135" t="s">
        <v>48</v>
      </c>
      <c r="C135" t="s">
        <v>33</v>
      </c>
      <c r="D135" s="35">
        <v>46241</v>
      </c>
      <c r="E135" t="s">
        <v>384</v>
      </c>
      <c r="F135" t="s">
        <v>65</v>
      </c>
      <c r="G135" t="s">
        <v>31</v>
      </c>
    </row>
    <row r="136" spans="1:7" x14ac:dyDescent="0.25">
      <c r="A136" s="3">
        <v>82304378100017</v>
      </c>
      <c r="B136" t="s">
        <v>49</v>
      </c>
      <c r="C136" t="s">
        <v>33</v>
      </c>
      <c r="D136" s="35">
        <v>46241</v>
      </c>
      <c r="E136" t="s">
        <v>384</v>
      </c>
      <c r="F136" t="s">
        <v>65</v>
      </c>
      <c r="G136" t="s">
        <v>31</v>
      </c>
    </row>
    <row r="137" spans="1:7" x14ac:dyDescent="0.25">
      <c r="A137" s="3">
        <v>91953084000025</v>
      </c>
      <c r="B137" t="s">
        <v>50</v>
      </c>
      <c r="C137" t="s">
        <v>33</v>
      </c>
      <c r="D137" s="35">
        <v>46241</v>
      </c>
      <c r="E137" t="s">
        <v>384</v>
      </c>
      <c r="F137" t="s">
        <v>65</v>
      </c>
      <c r="G137" t="s">
        <v>31</v>
      </c>
    </row>
    <row r="138" spans="1:7" x14ac:dyDescent="0.25">
      <c r="A138" s="3">
        <v>69715004300027</v>
      </c>
      <c r="B138" t="s">
        <v>51</v>
      </c>
      <c r="C138" t="s">
        <v>33</v>
      </c>
      <c r="D138" s="35">
        <v>46241</v>
      </c>
      <c r="E138" t="s">
        <v>384</v>
      </c>
      <c r="F138" t="s">
        <v>65</v>
      </c>
      <c r="G138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HUB</vt:lpstr>
      <vt:lpstr>TDB</vt:lpstr>
      <vt:lpstr>Feuil1</vt:lpstr>
      <vt:lpstr>A affecter</vt:lpstr>
      <vt:lpstr>Agents</vt:lpstr>
      <vt:lpstr>Traite</vt:lpstr>
      <vt:lpstr>Consolidation</vt:lpstr>
      <vt:lpstr>Journal 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HAMDANI Mohamed [EIDS]</dc:creator>
  <cp:lastModifiedBy>HAMDANI Mohamed [EIDS]</cp:lastModifiedBy>
  <dcterms:created xsi:type="dcterms:W3CDTF">2026-07-29T14:17:52Z</dcterms:created>
  <dcterms:modified xsi:type="dcterms:W3CDTF">2026-08-07T13:22:33Z</dcterms:modified>
</cp:coreProperties>
</file>