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e4c947c38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ing CA MSC" sheetId="1" r:id="R7f53ab3b0b374de0"/>
    <x:sheet xmlns:r="http://schemas.openxmlformats.org/officeDocument/2006/relationships" name="Mode emploi" sheetId="2" r:id="Rd1b02230e6d6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;[Red](0%);–"/>
    <x:numFmt numFmtId="201" formatCode="#,##0 &quot;€&quot;;[Red](#,##0 &quot;€&quot;);–"/>
    <x:numFmt numFmtId="202" formatCode="0 &quot;jrs&quot;"/>
    <x:numFmt numFmtId="203" formatCode="0"/>
  </x:numFmts>
  <x:fonts count="9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23446B"/>
      <x:name val="Carlito"/>
    </x:font>
    <x:font>
      <x:b/>
      <x:sz val="11"/>
      <x:color rgb="FF173B67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i/>
      <x:sz val="10"/>
      <x:color rgb="FF64748B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1C578C"/>
      </x:patternFill>
    </x:fill>
    <x:fill>
      <x:patternFill patternType="solid">
        <x:fgColor rgb="FFEAF1F8"/>
      </x:patternFill>
    </x:fill>
    <x:fill>
      <x:patternFill patternType="solid">
        <x:fgColor rgb="FFDCECF5"/>
      </x:patternFill>
    </x:fill>
    <x:fill>
      <x:patternFill patternType="solid">
        <x:fgColor rgb="FFFFF3B3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 applyAlignment="1">
      <x:alignment horizontal="center" vertical="center"/>
    </x:xf>
    <x:xf numFmtId="201" fontId="5" fillId="0" borderId="1" xfId="0" applyNumberFormat="1" applyFont="1" applyFill="1" applyBorder="1" applyAlignment="1">
      <x:alignment horizontal="center" vertical="center"/>
    </x:xf>
    <x:xf numFmtId="202" fontId="5" fillId="0" borderId="0" xfId="0" applyNumberFormat="1" applyFont="1" applyFill="1" applyBorder="1" applyAlignment="1">
      <x:alignment horizontal="center" vertical="center"/>
    </x:xf>
    <x:xf numFmtId="202" fontId="5" fillId="0" borderId="1" xfId="0" applyNumberFormat="1" applyFont="1" applyFill="1" applyBorder="1" applyAlignment="1">
      <x:alignment horizontal="center" vertical="center"/>
    </x:xf>
    <x:xf numFmtId="203" fontId="5" fillId="0" borderId="0" xfId="0" applyNumberFormat="1" applyFont="1" applyFill="1" applyBorder="1" applyAlignment="1">
      <x:alignment horizontal="center" vertical="center"/>
    </x:xf>
    <x:xf numFmtId="203" fontId="5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 applyAlignment="1">
      <x:alignment horizontal="center" vertical="center"/>
    </x:xf>
    <x:xf numFmtId="200" fontId="6" fillId="0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da8158ac8742d9" /><Relationship Type="http://schemas.openxmlformats.org/officeDocument/2006/relationships/theme" Target="/xl/theme/theme1.xml" Id="Ref6ac9a117244f56" /><Relationship Type="http://schemas.openxmlformats.org/officeDocument/2006/relationships/sharedStrings" Target="/xl/sharedStrings.xml" Id="Ra285036e12594440" /><Relationship Type="http://schemas.openxmlformats.org/officeDocument/2006/relationships/worksheet" Target="/xl/worksheets/sheet1.xml" Id="R7f53ab3b0b374de0" /><Relationship Type="http://schemas.openxmlformats.org/officeDocument/2006/relationships/worksheet" Target="/xl/worksheets/sheet2.xml" Id="Rd1b02230e6d6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" t="str">
        <x:v>RÉCAP SUIVI CA &amp; MSC PRODUCTION</x:v>
      </x:c>
      <x:c r="B1" s="4"/>
      <x:c r="C1" s="4"/>
      <x:c r="D1" s="4"/>
      <x:c r="E1" s="4"/>
      <x:c r="F1" s="4"/>
      <x:c r="G1" s="4"/>
    </x:row>
    <x:row r="2" ht="26" customHeight="1">
      <x:c r="A2" s="4"/>
      <x:c r="B2" s="4"/>
      <x:c r="C2" s="4"/>
      <x:c r="D2" s="4"/>
      <x:c r="E2" s="4"/>
      <x:c r="F2" s="4"/>
      <x:c r="G2" s="4"/>
    </x:row>
    <x:row r="4" ht="36" customHeight="1">
      <x:c r="A4" s="11" t="str">
        <x:v>INDICATEURS</x:v>
      </x:c>
      <x:c r="B4" s="11" t="str">
        <x:v>AFEDIM</x:v>
      </x:c>
      <x:c r="C4" s="11" t="str">
        <x:v>CRÉDIT MUTUEL</x:v>
      </x:c>
      <x:c r="D4" s="11" t="str">
        <x:v>COFIDIS</x:v>
      </x:c>
      <x:c r="E4" s="11" t="str">
        <x:v>FLOA</x:v>
      </x:c>
      <x:c r="F4" s="11" t="str">
        <x:v>GOOGLE</x:v>
      </x:c>
      <x:c r="G4" s="11" t="str">
        <x:v>TOTAL</x:v>
      </x:c>
    </x:row>
    <x:row r="5" ht="29" customHeight="1">
      <x:c r="A5" s="17" t="str">
        <x:v>CA budgété du mois (€)</x:v>
      </x:c>
      <x:c r="B5" s="56" t="n">
        <x:v>10000</x:v>
      </x:c>
      <x:c r="C5" s="56" t="n">
        <x:v>20000</x:v>
      </x:c>
      <x:c r="D5" s="56" t="n">
        <x:v>105000</x:v>
      </x:c>
      <x:c r="E5" s="56" t="n">
        <x:v>110000</x:v>
      </x:c>
      <x:c r="F5" s="56" t="n">
        <x:v>60000</x:v>
      </x:c>
      <x:c r="G5" s="35" t="n">
        <x:f>SUM(B5:F5)</x:f>
        <x:v>305000</x:v>
      </x:c>
    </x:row>
    <x:row r="6" ht="29" customHeight="1">
      <x:c r="A6" s="17" t="str">
        <x:v>Situation au</x:v>
      </x:c>
      <x:c r="B6" s="52" t="str">
        <x:v>19/07/2024</x:v>
      </x:c>
      <x:c r="C6" s="52" t="str">
        <x:v>20/07/2024</x:v>
      </x:c>
      <x:c r="D6" s="52" t="str">
        <x:v>18/07/2024</x:v>
      </x:c>
      <x:c r="E6" s="52" t="str">
        <x:v>20/07/2024</x:v>
      </x:c>
      <x:c r="F6" s="52" t="str">
        <x:v>20/07/2024</x:v>
      </x:c>
      <x:c r="G6" s="26" t="str">
        <x:v>—</x:v>
      </x:c>
    </x:row>
    <x:row r="7" ht="29" customHeight="1">
      <x:c r="A7" s="17" t="str">
        <x:v>Nbre jours consommés</x:v>
      </x:c>
      <x:c r="B7" s="48" t="n">
        <x:v>27</x:v>
      </x:c>
      <x:c r="C7" s="48" t="n">
        <x:v>27</x:v>
      </x:c>
      <x:c r="D7" s="48" t="n">
        <x:v>27</x:v>
      </x:c>
      <x:c r="E7" s="48" t="n">
        <x:v>27</x:v>
      </x:c>
      <x:c r="F7" s="48" t="n">
        <x:v>27</x:v>
      </x:c>
      <x:c r="G7" s="39" t="n">
        <x:f>MAX(B7:F7)</x:f>
        <x:v>27</x:v>
      </x:c>
    </x:row>
    <x:row r="8" ht="29" customHeight="1">
      <x:c r="A8" s="17" t="str">
        <x:v>CA budgété à date (€)</x:v>
      </x:c>
      <x:c r="B8" s="46" t="n">
        <x:v>10000</x:v>
      </x:c>
      <x:c r="C8" s="46" t="n">
        <x:v>20000</x:v>
      </x:c>
      <x:c r="D8" s="46" t="n">
        <x:v>105000</x:v>
      </x:c>
      <x:c r="E8" s="46" t="n">
        <x:v>110000</x:v>
      </x:c>
      <x:c r="F8" s="46" t="n">
        <x:v>60000</x:v>
      </x:c>
      <x:c r="G8" s="35" t="n">
        <x:f>SUM(B8:F8)</x:f>
        <x:v>305000</x:v>
      </x:c>
    </x:row>
    <x:row r="9" ht="34" customHeight="1">
      <x:c r="A9" s="17" t="str">
        <x:v>CA réalisé à date (€)</x:v>
      </x:c>
      <x:c r="B9" s="46" t="n">
        <x:v>10329</x:v>
      </x:c>
      <x:c r="C9" s="46" t="n">
        <x:v>25612</x:v>
      </x:c>
      <x:c r="D9" s="46" t="n">
        <x:v>103275</x:v>
      </x:c>
      <x:c r="E9" s="46" t="n">
        <x:v>113666</x:v>
      </x:c>
      <x:c r="F9" s="46" t="n">
        <x:v>84468</x:v>
      </x:c>
      <x:c r="G9" s="35" t="n">
        <x:f>SUM(B9:F9)</x:f>
        <x:v>337350</x:v>
      </x:c>
    </x:row>
    <x:row r="10" ht="34" customHeight="1">
      <x:c r="A10" s="17" t="str">
        <x:v>% Avancement sur le mois</x:v>
      </x:c>
      <x:c r="B10" s="54" t="n">
        <x:f>IFERROR(B9/B8,0)</x:f>
        <x:v>1.0329</x:v>
      </x:c>
      <x:c r="C10" s="54" t="n">
        <x:f>IFERROR(C9/C8,0)</x:f>
        <x:v>1.2806</x:v>
      </x:c>
      <x:c r="D10" s="54" t="n">
        <x:f>IFERROR(D9/D8,0)</x:f>
        <x:v>0.9835714285714285</x:v>
      </x:c>
      <x:c r="E10" s="54" t="n">
        <x:f>IFERROR(E9/E8,0)</x:f>
        <x:v>1.0333272727272726</x:v>
      </x:c>
      <x:c r="F10" s="54" t="n">
        <x:f>IFERROR(F9/F8,0)</x:f>
        <x:v>1.4078</x:v>
      </x:c>
      <x:c r="G10" s="31" t="n">
        <x:f>IFERROR(G9/G8,0)</x:f>
        <x:v>1.1060655737704919</x:v>
      </x:c>
    </x:row>
    <x:row r="11" ht="29" customHeight="1">
      <x:c r="A11" s="17" t="str">
        <x:v>MSC Prod (€)</x:v>
      </x:c>
      <x:c r="B11" s="46" t="n">
        <x:v>3879</x:v>
      </x:c>
      <x:c r="C11" s="46" t="n">
        <x:v>14091</x:v>
      </x:c>
      <x:c r="D11" s="46" t="n">
        <x:v>36580</x:v>
      </x:c>
      <x:c r="E11" s="46" t="n">
        <x:v>39145</x:v>
      </x:c>
      <x:c r="F11" s="46" t="n">
        <x:v>15795</x:v>
      </x:c>
      <x:c r="G11" s="35" t="n">
        <x:f>SUM(B11:F11)</x:f>
        <x:v>109490</x:v>
      </x:c>
    </x:row>
    <x:row r="12" ht="34" customHeight="1">
      <x:c r="A12" s="17" t="str">
        <x:v>% MSC / CA</x:v>
      </x:c>
      <x:c r="B12" s="54" t="n">
        <x:f>IFERROR(B11/B9,0)</x:f>
        <x:v>0.3755445832123148</x:v>
      </x:c>
      <x:c r="C12" s="54" t="n">
        <x:f>IFERROR(C11/C9,0)</x:f>
        <x:v>0.5501717944713416</x:v>
      </x:c>
      <x:c r="D12" s="54" t="n">
        <x:f>IFERROR(D11/D9,0)</x:f>
        <x:v>0.3541999515855725</x:v>
      </x:c>
      <x:c r="E12" s="54" t="n">
        <x:f>IFERROR(E11/E9,0)</x:f>
        <x:v>0.3443861840831911</x:v>
      </x:c>
      <x:c r="F12" s="54" t="n">
        <x:f>IFERROR(F11/F9,0)</x:f>
        <x:v>0.1869938911777241</x:v>
      </x:c>
      <x:c r="G12" s="31" t="n">
        <x:f>IFERROR(G11/G9,0)</x:f>
        <x:v>0.324559063287387</x:v>
      </x:c>
    </x:row>
    <x:row r="13" ht="29" customHeight="1">
      <x:c r="A13" s="17" t="str">
        <x:v>MSC Encadrement Prod (€)</x:v>
      </x:c>
      <x:c r="B13" s="46" t="n">
        <x:v>1053</x:v>
      </x:c>
      <x:c r="C13" s="46" t="n">
        <x:v>792</x:v>
      </x:c>
      <x:c r="D13" s="46" t="n">
        <x:v>5343</x:v>
      </x:c>
      <x:c r="E13" s="46" t="n">
        <x:v>9437</x:v>
      </x:c>
      <x:c r="F13" s="46" t="n">
        <x:v>4179</x:v>
      </x:c>
      <x:c r="G13" s="35" t="n">
        <x:f>SUM(B13:F13)</x:f>
        <x:v>20804</x:v>
      </x:c>
    </x:row>
    <x:row r="14" ht="34" customHeight="1">
      <x:c r="A14" s="17" t="str">
        <x:v>MSC PROD / CA</x:v>
      </x:c>
      <x:c r="B14" s="54" t="n">
        <x:f>IFERROR((B11+B13)/B9,0)</x:f>
        <x:v>0.4774905605576532</x:v>
      </x:c>
      <x:c r="C14" s="54" t="n">
        <x:f>IFERROR((C11+C13)/C9,0)</x:f>
        <x:v>0.5810947993128222</x:v>
      </x:c>
      <x:c r="D14" s="54" t="n">
        <x:f>IFERROR((D11+D13)/D9,0)</x:f>
        <x:v>0.4059356088114258</x:v>
      </x:c>
      <x:c r="E14" s="54" t="n">
        <x:f>IFERROR((E11+E13)/E9,0)</x:f>
        <x:v>0.42741013143772105</x:v>
      </x:c>
      <x:c r="F14" s="54" t="n">
        <x:f>IFERROR((F11+F13)/F9,0)</x:f>
        <x:v>0.2364682483307288</x:v>
      </x:c>
      <x:c r="G14" s="31" t="n">
        <x:f>IFERROR((G11+G13)/G9,0)</x:f>
        <x:v>0.38622795316436936</x:v>
      </x:c>
    </x:row>
    <x:row r="15" ht="29" customHeight="1">
      <x:c r="A15" s="17" t="str">
        <x:v>Nbre positions</x:v>
      </x:c>
      <x:c r="B15" s="50" t="n">
        <x:v>5</x:v>
      </x:c>
      <x:c r="C15" s="50" t="n">
        <x:v>45</x:v>
      </x:c>
      <x:c r="D15" s="50" t="n">
        <x:v>85</x:v>
      </x:c>
      <x:c r="E15" s="50" t="n">
        <x:v>90</x:v>
      </x:c>
      <x:c r="F15" s="50" t="n">
        <x:v>25</x:v>
      </x:c>
      <x:c r="G15" s="43" t="n">
        <x:f>SUM(B15:F15)</x:f>
        <x:v>250</x:v>
      </x:c>
    </x:row>
    <x:row r="16" ht="29" customHeight="1">
      <x:c r="A16" s="17" t="str">
        <x:v>MSC transversaux (€)</x:v>
      </x:c>
      <x:c r="B16" s="46" t="n">
        <x:v>965</x:v>
      </x:c>
      <x:c r="C16" s="46" t="n">
        <x:v>8688</x:v>
      </x:c>
      <x:c r="D16" s="46" t="n">
        <x:v>16410</x:v>
      </x:c>
      <x:c r="E16" s="46" t="n">
        <x:v>17375</x:v>
      </x:c>
      <x:c r="F16" s="46" t="n">
        <x:v>4827</x:v>
      </x:c>
      <x:c r="G16" s="35" t="n">
        <x:f>SUM(B16:F16)</x:f>
        <x:v>48265</x:v>
      </x:c>
    </x:row>
    <x:row r="17" ht="34" customHeight="1">
      <x:c r="A17" s="17" t="str">
        <x:v>Total MSC / CA</x:v>
      </x:c>
      <x:c r="B17" s="54" t="n">
        <x:f>IFERROR((B11+B13+B16)/B9,0)</x:f>
        <x:v>0.570916836092555</x:v>
      </x:c>
      <x:c r="C17" s="54" t="n">
        <x:f>IFERROR((C11+C13+C16)/C9,0)</x:f>
        <x:v>0.9203107918163361</x:v>
      </x:c>
      <x:c r="D17" s="54" t="n">
        <x:f>IFERROR((D11+D13+D16)/D9,0)</x:f>
        <x:v>0.5648317598644396</x:v>
      </x:c>
      <x:c r="E17" s="54" t="n">
        <x:f>IFERROR((E11+E13+E16)/E9,0)</x:f>
        <x:v>0.5802702655147538</x:v>
      </x:c>
      <x:c r="F17" s="54" t="n">
        <x:f>IFERROR((F11+F13+F16)/F9,0)</x:f>
        <x:v>0.2936141497371786</x:v>
      </x:c>
      <x:c r="G17" s="31" t="n">
        <x:f>IFERROR((G11+G13+G16)/G9,0)</x:f>
        <x:v>0.5292989476804506</x:v>
      </x:c>
    </x:row>
    <x:row r="19" ht="28" customHeight="1">
      <x:c r="A19" s="58" t="str">
        <x:v>Note : les ratios sont recalculés à partir des montants affichés. Les pourcentages de la photo peuvent différer.</x:v>
      </x:c>
      <x:c r="B19" s="58"/>
      <x:c r="C19" s="58"/>
      <x:c r="D19" s="58"/>
      <x:c r="E19" s="58"/>
      <x:c r="F19" s="58"/>
      <x:c r="G19" s="58"/>
    </x:row>
  </x:sheetData>
  <x:mergeCells>
    <x:mergeCell ref="A1:G2"/>
    <x:mergeCell ref="A19:G19"/>
  </x:mergeCells>
  <x:conditionalFormatting sqref="B9:G9">
    <x:cfRule type="dataBar" priority="1">
      <x:dataBar>
        <x:cfvo type="min"/>
        <x:cfvo type="max"/>
        <x:color rgb="FF2782B6"/>
      </x:dataBar>
      <x:extLst>
        <x:ext xmlns:x14="http://schemas.microsoft.com/office/spreadsheetml/2009/9/main" uri="{B025F937-C7B1-47D3-B67F-A62EFF666E3E}">
          <x14:id>{9C238DE7-775D-3F63-2519-610D490A669A}</x14:id>
        </x:ext>
      </x:extLst>
    </x:cfRule>
  </x:conditionalFormatting>
  <x:conditionalFormatting sqref="B10:G10">
    <x:cfRule type="colorScale" priority="2">
      <x:colorScale>
        <x:cfvo type="min"/>
        <x:cfvo type="percentile" val="50"/>
        <x:cfvo type="max"/>
        <x:color rgb="FFFCE7E7"/>
        <x:color rgb="FFFFF5CD"/>
        <x:color rgb="FFD6F4E5"/>
      </x:colorScale>
    </x:cfRule>
  </x:conditionalFormatting>
  <x:conditionalFormatting sqref="B17:G17">
    <x:cfRule type="colorScale" priority="3">
      <x:colorScale>
        <x:cfvo type="min"/>
        <x:cfvo type="percentile" val="50"/>
        <x:cfvo type="max"/>
        <x:color rgb="FFD7F3E5"/>
        <x:color rgb="FFFFF0C2"/>
        <x:color rgb="FFF9D6D6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C238DE7-775D-3F63-2519-610D490A669A}">
            <x14:dataBar gradient="1">
              <x14:cfvo type="min"/>
              <x14:cfvo type="max"/>
              <x14:fillColor rgb="FF2782B6"/>
            </x14:dataBar>
          </x14:cfRule>
          <xm:sqref>B9:G9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34" customHeight="1">
      <x:c r="A1" s="60" t="str">
        <x:v>GUIDE D’UTILISATION</x:v>
      </x:c>
      <x:c r="B1" s="60"/>
    </x:row>
    <x:row r="3" ht="28" customHeight="1">
      <x:c r="A3" s="9" t="str">
        <x:v>Zone</x:v>
      </x:c>
      <x:c r="B3" s="9" t="str">
        <x:v>Consigne</x:v>
      </x:c>
    </x:row>
    <x:row r="4" ht="28" customHeight="1">
      <x:c r="A4" t="str">
        <x:v>Cellules bleues</x:v>
      </x:c>
      <x:c r="B4" t="str">
        <x:v>Données à saisir / modifier pour chaque activité</x:v>
      </x:c>
    </x:row>
    <x:row r="5" ht="28" customHeight="1">
      <x:c r="A5" t="str">
        <x:v>Cellules calculées</x:v>
      </x:c>
      <x:c r="B5" t="str">
        <x:v>Formules automatiques : ne pas remplacer</x:v>
      </x:c>
    </x:row>
    <x:row r="6" ht="28" customHeight="1">
      <x:c r="A6" t="str">
        <x:v>TOTAL</x:v>
      </x:c>
      <x:c r="B6" t="str">
        <x:v>Sommes automatiques et ratios recalculés</x:v>
      </x:c>
    </x:row>
    <x:row r="7" ht="28" customHeight="1">
      <x:c r="A7" t="str">
        <x:v>CA budgété à date</x:v>
      </x:c>
      <x:c r="B7" t="str">
        <x:v>Saisie libre, identique au budget mensuel dans l’exemple</x:v>
      </x:c>
    </x:row>
    <x:row r="8" ht="28" customHeight="1">
      <x:c r="A8" t="str">
        <x:v>Source des exemples</x:v>
      </x:c>
      <x:c r="B8" t="str">
        <x:v>Photographie du tableau de juillet 2024 fournie par l’utilisateur</x:v>
      </x:c>
    </x:row>
  </x:sheetData>
  <x:pageMargins left="0.7" right="0.7" top="0.75" bottom="0.75" header="0.3" footer="0.3"/>
</x:worksheet>
</file>